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riginal\Downloads\"/>
    </mc:Choice>
  </mc:AlternateContent>
  <bookViews>
    <workbookView xWindow="0" yWindow="0" windowWidth="23040" windowHeight="9072" tabRatio="965" activeTab="9"/>
  </bookViews>
  <sheets>
    <sheet name="Calc" sheetId="2" r:id="rId1"/>
    <sheet name="DASHBOARD" sheetId="13" r:id="rId2"/>
    <sheet name="Orders_Raw" sheetId="3" r:id="rId3"/>
    <sheet name="Project_Guide" sheetId="4" r:id="rId4"/>
    <sheet name="PT_Product_Sales" sheetId="5" r:id="rId5"/>
    <sheet name="PT_City_Sales" sheetId="6" r:id="rId6"/>
    <sheet name="PT_Category_Sales" sheetId="7" r:id="rId7"/>
    <sheet name="PT_Channel_Sales" sheetId="8" r:id="rId8"/>
    <sheet name="PT_Order_Status" sheetId="9" r:id="rId9"/>
    <sheet name="Cleaned_Data" sheetId="10" r:id="rId10"/>
    <sheet name="Cleaning_Notes" sheetId="11" r:id="rId11"/>
  </sheets>
  <definedNames>
    <definedName name="_xlnm._FilterDatabase" localSheetId="9" hidden="1">Cleaned_Data!$A$1:$N$336</definedName>
    <definedName name="_xlnm._FilterDatabase" localSheetId="10" hidden="1">Cleaning_Notes!$A$1:$B$14</definedName>
    <definedName name="_xlnm._FilterDatabase" localSheetId="2" hidden="1">Orders_Raw!$A$1:$M$336</definedName>
    <definedName name="_xlnm._FilterDatabase" localSheetId="3" hidden="1">Project_Guide!$A$1:$B$7</definedName>
  </definedNames>
  <calcPr calcId="162913"/>
  <pivotCaches>
    <pivotCache cacheId="1" r:id="rId12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" i="3" l="1"/>
  <c r="B73" i="2"/>
  <c r="B72" i="2"/>
  <c r="B71" i="2"/>
  <c r="B70" i="2"/>
  <c r="B69" i="2"/>
  <c r="B68" i="2"/>
  <c r="B66" i="2"/>
  <c r="B65" i="2"/>
  <c r="E61" i="2"/>
  <c r="D61" i="2"/>
  <c r="C61" i="2"/>
  <c r="A61" i="2"/>
  <c r="E60" i="2"/>
  <c r="D60" i="2"/>
  <c r="C60" i="2"/>
  <c r="A60" i="2"/>
  <c r="E59" i="2"/>
  <c r="D59" i="2"/>
  <c r="C59" i="2"/>
  <c r="A59" i="2"/>
  <c r="E58" i="2"/>
  <c r="D58" i="2"/>
  <c r="C58" i="2"/>
  <c r="A58" i="2"/>
  <c r="E57" i="2"/>
  <c r="D57" i="2"/>
  <c r="C57" i="2"/>
  <c r="A57" i="2"/>
  <c r="E56" i="2"/>
  <c r="D56" i="2"/>
  <c r="C56" i="2"/>
  <c r="A56" i="2"/>
  <c r="E55" i="2"/>
  <c r="D55" i="2"/>
  <c r="C55" i="2"/>
  <c r="A55" i="2"/>
  <c r="E54" i="2"/>
  <c r="D54" i="2"/>
  <c r="C54" i="2"/>
  <c r="A54" i="2"/>
  <c r="E53" i="2"/>
  <c r="D53" i="2"/>
  <c r="C53" i="2"/>
  <c r="A53" i="2"/>
  <c r="E52" i="2"/>
  <c r="D52" i="2"/>
  <c r="C52" i="2"/>
  <c r="A52" i="2"/>
  <c r="C48" i="2"/>
  <c r="B48" i="2"/>
  <c r="C47" i="2"/>
  <c r="B47" i="2"/>
  <c r="C46" i="2"/>
  <c r="B46" i="2"/>
  <c r="B41" i="2"/>
  <c r="C41" i="2" s="1"/>
  <c r="B40" i="2"/>
  <c r="B39" i="2"/>
  <c r="B38" i="2"/>
  <c r="C33" i="2"/>
  <c r="B33" i="2"/>
  <c r="D33" i="2" s="1"/>
  <c r="C32" i="2"/>
  <c r="B32" i="2"/>
  <c r="D32" i="2" s="1"/>
  <c r="C31" i="2"/>
  <c r="B31" i="2"/>
  <c r="D31" i="2" s="1"/>
  <c r="C30" i="2"/>
  <c r="B30" i="2"/>
  <c r="D30" i="2" s="1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B67" i="2" l="1"/>
  <c r="B80" i="2"/>
  <c r="C39" i="2"/>
  <c r="B74" i="2"/>
  <c r="B75" i="2"/>
  <c r="B76" i="2"/>
  <c r="C38" i="2"/>
  <c r="C40" i="2"/>
  <c r="B77" i="2"/>
  <c r="B78" i="2"/>
  <c r="B79" i="2"/>
</calcChain>
</file>

<file path=xl/sharedStrings.xml><?xml version="1.0" encoding="utf-8"?>
<sst xmlns="http://schemas.openxmlformats.org/spreadsheetml/2006/main" count="6564" uniqueCount="788">
  <si>
    <t>Calculations feeding the Dashboard (Completed orders only for sales figures)</t>
  </si>
  <si>
    <t>By product</t>
  </si>
  <si>
    <t>Label</t>
  </si>
  <si>
    <t>Net sales (EGP)</t>
  </si>
  <si>
    <t>Completed orders</t>
  </si>
  <si>
    <t>Headphones</t>
  </si>
  <si>
    <t>Backpack</t>
  </si>
  <si>
    <t>Desk Lamp</t>
  </si>
  <si>
    <t>Keyboard</t>
  </si>
  <si>
    <t>Water Bottle</t>
  </si>
  <si>
    <t>Wireless Mouse</t>
  </si>
  <si>
    <t>Phone Stand</t>
  </si>
  <si>
    <t>USB-C Cable</t>
  </si>
  <si>
    <t>Pen Set</t>
  </si>
  <si>
    <t>Notebook</t>
  </si>
  <si>
    <t>By city</t>
  </si>
  <si>
    <t>Giza</t>
  </si>
  <si>
    <t>Aswan</t>
  </si>
  <si>
    <t>Mansoura</t>
  </si>
  <si>
    <t>Tanta</t>
  </si>
  <si>
    <t>Cairo</t>
  </si>
  <si>
    <t>Alexandria</t>
  </si>
  <si>
    <t>Unknown</t>
  </si>
  <si>
    <t>By category</t>
  </si>
  <si>
    <t>Share of net sales</t>
  </si>
  <si>
    <t>Electronics</t>
  </si>
  <si>
    <t>Accessories</t>
  </si>
  <si>
    <t>Home &amp; Kitchen</t>
  </si>
  <si>
    <t>Stationery</t>
  </si>
  <si>
    <t>By sales channel</t>
  </si>
  <si>
    <t>Facebook</t>
  </si>
  <si>
    <t>Online</t>
  </si>
  <si>
    <t>WhatsApp</t>
  </si>
  <si>
    <t>Store</t>
  </si>
  <si>
    <t>By order status (all rows)</t>
  </si>
  <si>
    <t>Orders</t>
  </si>
  <si>
    <t>Net value (EGP)</t>
  </si>
  <si>
    <t>Completed</t>
  </si>
  <si>
    <t>Cancelled</t>
  </si>
  <si>
    <t>Returned</t>
  </si>
  <si>
    <t>Monthly trend (Completed)</t>
  </si>
  <si>
    <t>Month</t>
  </si>
  <si>
    <t>Month start</t>
  </si>
  <si>
    <t>All orders</t>
  </si>
  <si>
    <t>Headline KPIs</t>
  </si>
  <si>
    <t>Net sales, Completed (EGP)</t>
  </si>
  <si>
    <t>Average order value (EGP)</t>
  </si>
  <si>
    <t>Cancellation rate</t>
  </si>
  <si>
    <t>Return rate</t>
  </si>
  <si>
    <t>Value lost to cancel/return (EGP)</t>
  </si>
  <si>
    <t>Cancelled + returned orders</t>
  </si>
  <si>
    <t>Total orders (all statuses)</t>
  </si>
  <si>
    <t>Rows with unusable date</t>
  </si>
  <si>
    <t>Top product</t>
  </si>
  <si>
    <t>Top city</t>
  </si>
  <si>
    <t>Top channel</t>
  </si>
  <si>
    <t>Best month (net sales)</t>
  </si>
  <si>
    <t>Best month value (EGP)</t>
  </si>
  <si>
    <t>Weakest full month (net sales)</t>
  </si>
  <si>
    <t>Weakest full month value (EGP)</t>
  </si>
  <si>
    <t>Last month in the trend is partial (1 order) and is excluded from the "weakest full month" calculation.</t>
  </si>
  <si>
    <t>Order_ID</t>
  </si>
  <si>
    <t>Order_Date</t>
  </si>
  <si>
    <t>Customer_Name</t>
  </si>
  <si>
    <t>City</t>
  </si>
  <si>
    <t>Product</t>
  </si>
  <si>
    <t>Category</t>
  </si>
  <si>
    <t>Quantity</t>
  </si>
  <si>
    <t>Unit_Price_EGP</t>
  </si>
  <si>
    <t>Discount_%</t>
  </si>
  <si>
    <t>Sales_Channel</t>
  </si>
  <si>
    <t>Payment_Method</t>
  </si>
  <si>
    <t>Order_Status</t>
  </si>
  <si>
    <t>Customer_Email</t>
  </si>
  <si>
    <t>ORD-0001</t>
  </si>
  <si>
    <t>2025-04-25</t>
  </si>
  <si>
    <t>Mona Ali</t>
  </si>
  <si>
    <t>Vodafone Cash</t>
  </si>
  <si>
    <t>customer9@example.com</t>
  </si>
  <si>
    <t>ORD-0002</t>
  </si>
  <si>
    <t>2025-01-14</t>
  </si>
  <si>
    <t>Sara Mahmoud</t>
  </si>
  <si>
    <t>Credit Card</t>
  </si>
  <si>
    <t>customer115@example.com</t>
  </si>
  <si>
    <t>ORD-0003</t>
  </si>
  <si>
    <t>2025-03-23</t>
  </si>
  <si>
    <t>Nour Khaled</t>
  </si>
  <si>
    <t>Instapay</t>
  </si>
  <si>
    <t>customer27@example.com</t>
  </si>
  <si>
    <t>ORD-0004</t>
  </si>
  <si>
    <t>2025-06-26</t>
  </si>
  <si>
    <t>Youssef Adel</t>
  </si>
  <si>
    <t>Cash</t>
  </si>
  <si>
    <t>customer97@example.com</t>
  </si>
  <si>
    <t>ORD-0005</t>
  </si>
  <si>
    <t>2025-07-05</t>
  </si>
  <si>
    <t>customer75@example.com</t>
  </si>
  <si>
    <t>ORD-0006</t>
  </si>
  <si>
    <t>2025-07-14</t>
  </si>
  <si>
    <t>Karim Fathy</t>
  </si>
  <si>
    <t>customer95@example.com</t>
  </si>
  <si>
    <t>ORD-0007</t>
  </si>
  <si>
    <t>2025-02-06</t>
  </si>
  <si>
    <t>Omar Samir</t>
  </si>
  <si>
    <t>customer119@example.com</t>
  </si>
  <si>
    <t>ORD-0008</t>
  </si>
  <si>
    <t>2025-04-23</t>
  </si>
  <si>
    <t>Ahmed Hassan</t>
  </si>
  <si>
    <t>customer103@example.com</t>
  </si>
  <si>
    <t>ORD-0009</t>
  </si>
  <si>
    <t>2025-06-11</t>
  </si>
  <si>
    <t>customer68@example.com</t>
  </si>
  <si>
    <t>ORD-0010</t>
  </si>
  <si>
    <t>2025-05-15</t>
  </si>
  <si>
    <t>Salma Mostafa</t>
  </si>
  <si>
    <t>customer36@example.com</t>
  </si>
  <si>
    <t>ORD-0011</t>
  </si>
  <si>
    <t>2025-02-26</t>
  </si>
  <si>
    <t>customer98@example.com</t>
  </si>
  <si>
    <t>ORD-0012</t>
  </si>
  <si>
    <t>2025-01-06</t>
  </si>
  <si>
    <t>Hana Ibrahim</t>
  </si>
  <si>
    <t>customer76@example.com</t>
  </si>
  <si>
    <t>ORD-0013</t>
  </si>
  <si>
    <t>customer40@example.com</t>
  </si>
  <si>
    <t>ORD-0014</t>
  </si>
  <si>
    <t>2025-09-29</t>
  </si>
  <si>
    <t>Ali Mohamed</t>
  </si>
  <si>
    <t>customer93@example.com</t>
  </si>
  <si>
    <t>ORD-0015</t>
  </si>
  <si>
    <t>2025-02-10</t>
  </si>
  <si>
    <t>customer122@example.com</t>
  </si>
  <si>
    <t>ORD-0016</t>
  </si>
  <si>
    <t>2025-08-05</t>
  </si>
  <si>
    <t>ORD-0017</t>
  </si>
  <si>
    <t>2025-03-03</t>
  </si>
  <si>
    <t>customer57@example.com</t>
  </si>
  <si>
    <t>ORD-0018</t>
  </si>
  <si>
    <t>2025-04-28</t>
  </si>
  <si>
    <t>customer125@example.com</t>
  </si>
  <si>
    <t>ORD-0019</t>
  </si>
  <si>
    <t>2025-08-31</t>
  </si>
  <si>
    <t>customer111@example.com</t>
  </si>
  <si>
    <t>ORD-0020</t>
  </si>
  <si>
    <t>2025-01-28</t>
  </si>
  <si>
    <t>ORD-0021</t>
  </si>
  <si>
    <t>online</t>
  </si>
  <si>
    <t>customer26@example.com</t>
  </si>
  <si>
    <t>ORD-0022</t>
  </si>
  <si>
    <t>2025-01-08</t>
  </si>
  <si>
    <t>customer55@example.com</t>
  </si>
  <si>
    <t>ORD-0023</t>
  </si>
  <si>
    <t>2025-01-02</t>
  </si>
  <si>
    <t>ORD-0024</t>
  </si>
  <si>
    <t>2025-02-01</t>
  </si>
  <si>
    <t>customer15@example.com</t>
  </si>
  <si>
    <t>ORD-0025</t>
  </si>
  <si>
    <t>2025-02-04</t>
  </si>
  <si>
    <t>customer21@example.com</t>
  </si>
  <si>
    <t>ORD-0027</t>
  </si>
  <si>
    <t>2025-08-23</t>
  </si>
  <si>
    <t>ORD-0028</t>
  </si>
  <si>
    <t>2025-02-05</t>
  </si>
  <si>
    <t>customer3@example.com</t>
  </si>
  <si>
    <t>ORD-0029</t>
  </si>
  <si>
    <t>2025-03-10</t>
  </si>
  <si>
    <t>customer73@example.com</t>
  </si>
  <si>
    <t>ORD-0030</t>
  </si>
  <si>
    <t>2025-05-16</t>
  </si>
  <si>
    <t>customer109@example.com</t>
  </si>
  <si>
    <t>ORD-0031</t>
  </si>
  <si>
    <t>2025-03-08</t>
  </si>
  <si>
    <t>customer29@example.com</t>
  </si>
  <si>
    <t>ORD-0032</t>
  </si>
  <si>
    <t>2025-03-18</t>
  </si>
  <si>
    <t>customer33@example.com</t>
  </si>
  <si>
    <t>ORD-0033</t>
  </si>
  <si>
    <t>2025-01-21</t>
  </si>
  <si>
    <t>customer105@example.com</t>
  </si>
  <si>
    <t>ORD-0034</t>
  </si>
  <si>
    <t>2025-05-02</t>
  </si>
  <si>
    <t>customer106@example.com</t>
  </si>
  <si>
    <t>ORD-0035</t>
  </si>
  <si>
    <t>2025-02-25</t>
  </si>
  <si>
    <t>customer90@example.com</t>
  </si>
  <si>
    <t>ORD-0036</t>
  </si>
  <si>
    <t>customer72@example.com</t>
  </si>
  <si>
    <t>ORD-0037</t>
  </si>
  <si>
    <t>2025-06-19</t>
  </si>
  <si>
    <t>customer28@example.com</t>
  </si>
  <si>
    <t>ORD-0038</t>
  </si>
  <si>
    <t>2025-06-10</t>
  </si>
  <si>
    <t>customer66@example.com</t>
  </si>
  <si>
    <t>ORD-0039</t>
  </si>
  <si>
    <t>2025-04-11</t>
  </si>
  <si>
    <t>customer32@example.com</t>
  </si>
  <si>
    <t>ORD-0040</t>
  </si>
  <si>
    <t>2025-06-17</t>
  </si>
  <si>
    <t>ORD-0041</t>
  </si>
  <si>
    <t>2025-01-01</t>
  </si>
  <si>
    <t>customer114@example.com</t>
  </si>
  <si>
    <t>ORD-0042</t>
  </si>
  <si>
    <t>2025-03-28</t>
  </si>
  <si>
    <t>customer61@example.com</t>
  </si>
  <si>
    <t>ORD-0043</t>
  </si>
  <si>
    <t>2025-01-13</t>
  </si>
  <si>
    <t>customer107@example.com</t>
  </si>
  <si>
    <t>ORD-0044</t>
  </si>
  <si>
    <t>2025-09-11</t>
  </si>
  <si>
    <t>ORD-0045</t>
  </si>
  <si>
    <t>2025-09-23</t>
  </si>
  <si>
    <t>customer35@example.com</t>
  </si>
  <si>
    <t>ORD-0046</t>
  </si>
  <si>
    <t>2025-06-12</t>
  </si>
  <si>
    <t>customer41@example.com</t>
  </si>
  <si>
    <t>ORD-0047</t>
  </si>
  <si>
    <t>2025-05-22</t>
  </si>
  <si>
    <t>customer20@example.com</t>
  </si>
  <si>
    <t>ORD-0048</t>
  </si>
  <si>
    <t>2025-02-11</t>
  </si>
  <si>
    <t>customer17@example.com</t>
  </si>
  <si>
    <t>ORD-0049</t>
  </si>
  <si>
    <t>2025-08-01</t>
  </si>
  <si>
    <t>customer123@example.com</t>
  </si>
  <si>
    <t>ORD-0050</t>
  </si>
  <si>
    <t>2025-07-19</t>
  </si>
  <si>
    <t>ORD-0051</t>
  </si>
  <si>
    <t>2025-06-22</t>
  </si>
  <si>
    <t>customer7@example.com</t>
  </si>
  <si>
    <t>ORD-0053</t>
  </si>
  <si>
    <t>2025-05-23</t>
  </si>
  <si>
    <t>ORD-0054</t>
  </si>
  <si>
    <t>customer62@example.com</t>
  </si>
  <si>
    <t>ORD-0055</t>
  </si>
  <si>
    <t>2025-04-22</t>
  </si>
  <si>
    <t>customer80@example.com</t>
  </si>
  <si>
    <t>ORD-0056</t>
  </si>
  <si>
    <t>2025-07-12</t>
  </si>
  <si>
    <t>customer78@example.com</t>
  </si>
  <si>
    <t>ORD-0057</t>
  </si>
  <si>
    <t>2025-01-22</t>
  </si>
  <si>
    <t>customer130@example.com</t>
  </si>
  <si>
    <t>ORD-0058</t>
  </si>
  <si>
    <t>2025-09-08</t>
  </si>
  <si>
    <t>customer112@example.com</t>
  </si>
  <si>
    <t>ORD-0059</t>
  </si>
  <si>
    <t>2025-05-19</t>
  </si>
  <si>
    <t>customer83@example.com</t>
  </si>
  <si>
    <t>ORD-0061</t>
  </si>
  <si>
    <t>2025-04-19</t>
  </si>
  <si>
    <t>customer49@example.com</t>
  </si>
  <si>
    <t>ORD-0062</t>
  </si>
  <si>
    <t>2025-05-04</t>
  </si>
  <si>
    <t>ORD-0063</t>
  </si>
  <si>
    <t>2025-07-08</t>
  </si>
  <si>
    <t>customer91@example.com</t>
  </si>
  <si>
    <t>ORD-0065</t>
  </si>
  <si>
    <t>2025-09-26</t>
  </si>
  <si>
    <t>customer59@example.com</t>
  </si>
  <si>
    <t>ORD-0066</t>
  </si>
  <si>
    <t>2025-10-01</t>
  </si>
  <si>
    <t>customer126@example.com</t>
  </si>
  <si>
    <t>ORD-0067</t>
  </si>
  <si>
    <t>2025-08-29</t>
  </si>
  <si>
    <t>ORD-0068</t>
  </si>
  <si>
    <t>2025-02-07</t>
  </si>
  <si>
    <t>customer64@example.com</t>
  </si>
  <si>
    <t>ORD-0069</t>
  </si>
  <si>
    <t>2025-04-26</t>
  </si>
  <si>
    <t>customer79@example.com</t>
  </si>
  <si>
    <t>ORD-0070</t>
  </si>
  <si>
    <t>2025-02-20</t>
  </si>
  <si>
    <t>ORD-0071</t>
  </si>
  <si>
    <t>13/32/2025</t>
  </si>
  <si>
    <t>customer74@example.com</t>
  </si>
  <si>
    <t>ORD-0072</t>
  </si>
  <si>
    <t>2025-04-30</t>
  </si>
  <si>
    <t>customer30@example.com</t>
  </si>
  <si>
    <t>ORD-0073</t>
  </si>
  <si>
    <t>2025-05-17</t>
  </si>
  <si>
    <t>customer113@example.com</t>
  </si>
  <si>
    <t>ORD-0074</t>
  </si>
  <si>
    <t>2025-07-26</t>
  </si>
  <si>
    <t>customer11@example.com</t>
  </si>
  <si>
    <t>ORD-0075</t>
  </si>
  <si>
    <t>ORD-0076</t>
  </si>
  <si>
    <t>customer121@example.com</t>
  </si>
  <si>
    <t>ORD-0077</t>
  </si>
  <si>
    <t>2025-02-23</t>
  </si>
  <si>
    <t>cancelled</t>
  </si>
  <si>
    <t>ORD-0078</t>
  </si>
  <si>
    <t>2025-05-10</t>
  </si>
  <si>
    <t>ORD-0080</t>
  </si>
  <si>
    <t>2025-05-03</t>
  </si>
  <si>
    <t>customer58@example.com</t>
  </si>
  <si>
    <t>ORD-0081</t>
  </si>
  <si>
    <t>2025-03-20</t>
  </si>
  <si>
    <t>customer124@example.com</t>
  </si>
  <si>
    <t>ORD-0082</t>
  </si>
  <si>
    <t>2025-07-16</t>
  </si>
  <si>
    <t>customer71@example.com</t>
  </si>
  <si>
    <t>ORD-0083</t>
  </si>
  <si>
    <t>ORD-0084</t>
  </si>
  <si>
    <t>2025-07-13</t>
  </si>
  <si>
    <t>customer60@example.com</t>
  </si>
  <si>
    <t>ORD-0085</t>
  </si>
  <si>
    <t>2025-07-15</t>
  </si>
  <si>
    <t>ORD-0086</t>
  </si>
  <si>
    <t>ORD-0087</t>
  </si>
  <si>
    <t>ORD-0088</t>
  </si>
  <si>
    <t>2025-04-27</t>
  </si>
  <si>
    <t>customer43@example.com</t>
  </si>
  <si>
    <t>ORD-0089</t>
  </si>
  <si>
    <t>2025-01-29</t>
  </si>
  <si>
    <t>ORD-0091</t>
  </si>
  <si>
    <t>2025-05-11</t>
  </si>
  <si>
    <t>ORD-0092</t>
  </si>
  <si>
    <t>2025-08-06</t>
  </si>
  <si>
    <t>ORD-0093</t>
  </si>
  <si>
    <t>2025-06-01</t>
  </si>
  <si>
    <t>customer13@example.com</t>
  </si>
  <si>
    <t>ORD-0094</t>
  </si>
  <si>
    <t>2025-05-27</t>
  </si>
  <si>
    <t>ORD-0095</t>
  </si>
  <si>
    <t>2025-06-08</t>
  </si>
  <si>
    <t>ORD-0096</t>
  </si>
  <si>
    <t>2025-03-09</t>
  </si>
  <si>
    <t>ORD-0097</t>
  </si>
  <si>
    <t>2025-06-23</t>
  </si>
  <si>
    <t>customer94@example.com</t>
  </si>
  <si>
    <t>ORD-0098</t>
  </si>
  <si>
    <t>2025-03-05</t>
  </si>
  <si>
    <t>customer96@example.com</t>
  </si>
  <si>
    <t>ORD-0099</t>
  </si>
  <si>
    <t>ORD-0100</t>
  </si>
  <si>
    <t>2025-06-05</t>
  </si>
  <si>
    <t>customer117@example.com</t>
  </si>
  <si>
    <t>ORD-0101</t>
  </si>
  <si>
    <t>2025-08-03</t>
  </si>
  <si>
    <t>ORD-0102</t>
  </si>
  <si>
    <t>2025-08-16</t>
  </si>
  <si>
    <t>customer16@example.com</t>
  </si>
  <si>
    <t>ORD-0103</t>
  </si>
  <si>
    <t>2025-08-21</t>
  </si>
  <si>
    <t>customer86@example.com</t>
  </si>
  <si>
    <t>ORD-0104</t>
  </si>
  <si>
    <t>2025-04-16</t>
  </si>
  <si>
    <t>customer85@example.com</t>
  </si>
  <si>
    <t>ORD-0105</t>
  </si>
  <si>
    <t>ORD-0106</t>
  </si>
  <si>
    <t>ORD-0107</t>
  </si>
  <si>
    <t>2025-09-01</t>
  </si>
  <si>
    <t>customer129@example.com</t>
  </si>
  <si>
    <t>ORD-0108</t>
  </si>
  <si>
    <t>2025-09-24</t>
  </si>
  <si>
    <t>ORD-0109</t>
  </si>
  <si>
    <t>ORD-0110</t>
  </si>
  <si>
    <t>2025-06-16</t>
  </si>
  <si>
    <t>ORD-0111</t>
  </si>
  <si>
    <t>2025-04-21</t>
  </si>
  <si>
    <t>ORD-0112</t>
  </si>
  <si>
    <t>customer24@example.com</t>
  </si>
  <si>
    <t>ORD-0113</t>
  </si>
  <si>
    <t>2025-07-10</t>
  </si>
  <si>
    <t>ORD-0114</t>
  </si>
  <si>
    <t>ORD-0115</t>
  </si>
  <si>
    <t>customer110@example.com</t>
  </si>
  <si>
    <t>ORD-0116</t>
  </si>
  <si>
    <t>customer87@example.com</t>
  </si>
  <si>
    <t>ORD-0117</t>
  </si>
  <si>
    <t>2025-07-25</t>
  </si>
  <si>
    <t>customer56@example.com</t>
  </si>
  <si>
    <t>ORD-0118</t>
  </si>
  <si>
    <t>2025-07-09</t>
  </si>
  <si>
    <t>ORD-0119</t>
  </si>
  <si>
    <t>ORD-0120</t>
  </si>
  <si>
    <t>customer12@example.com</t>
  </si>
  <si>
    <t>ORD-0121</t>
  </si>
  <si>
    <t>2025-01-04</t>
  </si>
  <si>
    <t>ORD-0122</t>
  </si>
  <si>
    <t>2025-08-09</t>
  </si>
  <si>
    <t>customer19@example.com</t>
  </si>
  <si>
    <t>ORD-0123</t>
  </si>
  <si>
    <t>2025-01-10</t>
  </si>
  <si>
    <t>ORD-0124</t>
  </si>
  <si>
    <t>ORD-0125</t>
  </si>
  <si>
    <t>ORD-0126</t>
  </si>
  <si>
    <t>ORD-0127</t>
  </si>
  <si>
    <t>ORD-0128</t>
  </si>
  <si>
    <t>2025-08-15</t>
  </si>
  <si>
    <t>ORD-0129</t>
  </si>
  <si>
    <t>ORD-0131</t>
  </si>
  <si>
    <t>2025-02-13</t>
  </si>
  <si>
    <t>ORD-0132</t>
  </si>
  <si>
    <t>2025-07-29</t>
  </si>
  <si>
    <t>ORD-0133</t>
  </si>
  <si>
    <t>ORD-0134</t>
  </si>
  <si>
    <t>ORD-0135</t>
  </si>
  <si>
    <t>ORD-0136</t>
  </si>
  <si>
    <t>2025-02-21</t>
  </si>
  <si>
    <t>customer34@example.com</t>
  </si>
  <si>
    <t>ORD-0137</t>
  </si>
  <si>
    <t>2025-03-26</t>
  </si>
  <si>
    <t>ORD-0138</t>
  </si>
  <si>
    <t>ORD-0139</t>
  </si>
  <si>
    <t>2025-03-24</t>
  </si>
  <si>
    <t>ORD-0140</t>
  </si>
  <si>
    <t>2025-09-22</t>
  </si>
  <si>
    <t>customer116@example.com</t>
  </si>
  <si>
    <t>ORD-0141</t>
  </si>
  <si>
    <t>2025-04-24</t>
  </si>
  <si>
    <t>ORD-0142</t>
  </si>
  <si>
    <t>2025-07-11</t>
  </si>
  <si>
    <t>ORD-0143</t>
  </si>
  <si>
    <t>2025-03-13</t>
  </si>
  <si>
    <t>ORD-0144</t>
  </si>
  <si>
    <t>2025-09-28</t>
  </si>
  <si>
    <t>ORD-0145</t>
  </si>
  <si>
    <t>customer37@example.com</t>
  </si>
  <si>
    <t>ORD-0146</t>
  </si>
  <si>
    <t>customer18@example.com</t>
  </si>
  <si>
    <t>ORD-0147</t>
  </si>
  <si>
    <t>2025-09-17</t>
  </si>
  <si>
    <t>customer100@example.com</t>
  </si>
  <si>
    <t>ORD-0148</t>
  </si>
  <si>
    <t>ORD-0149</t>
  </si>
  <si>
    <t>2025-03-31</t>
  </si>
  <si>
    <t>customer118@example.com</t>
  </si>
  <si>
    <t>ORD-0150</t>
  </si>
  <si>
    <t>2025-04-13</t>
  </si>
  <si>
    <t>customer65@example.com</t>
  </si>
  <si>
    <t>ORD-0151</t>
  </si>
  <si>
    <t>2025-07-02</t>
  </si>
  <si>
    <t>ORD-0152</t>
  </si>
  <si>
    <t>2025-04-06</t>
  </si>
  <si>
    <t>ORD-0153</t>
  </si>
  <si>
    <t>2025-04-03</t>
  </si>
  <si>
    <t>ORD-0154</t>
  </si>
  <si>
    <t>2025-03-27</t>
  </si>
  <si>
    <t>ORD-0155</t>
  </si>
  <si>
    <t>2025-07-06</t>
  </si>
  <si>
    <t>ORD-0156</t>
  </si>
  <si>
    <t>ORD-0157</t>
  </si>
  <si>
    <t>2025-03-12</t>
  </si>
  <si>
    <t>ORD-0158</t>
  </si>
  <si>
    <t>2025-07-18</t>
  </si>
  <si>
    <t>ORD-0159</t>
  </si>
  <si>
    <t>2025-09-09</t>
  </si>
  <si>
    <t>customer45@example.com</t>
  </si>
  <si>
    <t>ORD-0160</t>
  </si>
  <si>
    <t>2025-06-13</t>
  </si>
  <si>
    <t>ORD-0162</t>
  </si>
  <si>
    <t>ORD-0163</t>
  </si>
  <si>
    <t>customer47@example.com</t>
  </si>
  <si>
    <t>ORD-0164</t>
  </si>
  <si>
    <t>ORD-0165</t>
  </si>
  <si>
    <t>2025-05-26</t>
  </si>
  <si>
    <t>ORD-0166</t>
  </si>
  <si>
    <t>customer8@example.com</t>
  </si>
  <si>
    <t>ORD-0167</t>
  </si>
  <si>
    <t>ORD-0168</t>
  </si>
  <si>
    <t>2025-07-27</t>
  </si>
  <si>
    <t>ORD-0169</t>
  </si>
  <si>
    <t>2025-03-15</t>
  </si>
  <si>
    <t>ORD-0170</t>
  </si>
  <si>
    <t>customer25@example.com</t>
  </si>
  <si>
    <t>ORD-0171</t>
  </si>
  <si>
    <t>ORD-0172</t>
  </si>
  <si>
    <t>2025-06-07</t>
  </si>
  <si>
    <t>ORD-0173</t>
  </si>
  <si>
    <t>ORD-0174</t>
  </si>
  <si>
    <t>ORD-0175</t>
  </si>
  <si>
    <t>2025-05-24</t>
  </si>
  <si>
    <t>ORD-0176</t>
  </si>
  <si>
    <t>customer10@example.com</t>
  </si>
  <si>
    <t>ORD-0177</t>
  </si>
  <si>
    <t>customer82@example.com</t>
  </si>
  <si>
    <t>ORD-0178</t>
  </si>
  <si>
    <t>2025-06-03</t>
  </si>
  <si>
    <t>ORD-0179</t>
  </si>
  <si>
    <t>2025-08-02</t>
  </si>
  <si>
    <t>ORD-0180</t>
  </si>
  <si>
    <t>2025-09-03</t>
  </si>
  <si>
    <t>customer63@example.com</t>
  </si>
  <si>
    <t>ORD-0181</t>
  </si>
  <si>
    <t>2025-04-08</t>
  </si>
  <si>
    <t>customer53@example.com</t>
  </si>
  <si>
    <t>ORD-0182</t>
  </si>
  <si>
    <t>2025-08-30</t>
  </si>
  <si>
    <t>ORD-0183</t>
  </si>
  <si>
    <t>2025-09-30</t>
  </si>
  <si>
    <t>customer50@example.com</t>
  </si>
  <si>
    <t>ORD-0184</t>
  </si>
  <si>
    <t>2025-06-02</t>
  </si>
  <si>
    <t>ORD-0185</t>
  </si>
  <si>
    <t>2025-05-21</t>
  </si>
  <si>
    <t>customer89@example.com</t>
  </si>
  <si>
    <t>ORD-0186</t>
  </si>
  <si>
    <t>customer52@example.com</t>
  </si>
  <si>
    <t>ORD-0187</t>
  </si>
  <si>
    <t>2025-05-20</t>
  </si>
  <si>
    <t>ORD-0188</t>
  </si>
  <si>
    <t>ORD-0189</t>
  </si>
  <si>
    <t>customer23@example.com</t>
  </si>
  <si>
    <t>ORD-0190</t>
  </si>
  <si>
    <t>2025-01-20</t>
  </si>
  <si>
    <t>customer48@example.com</t>
  </si>
  <si>
    <t>ORD-0191</t>
  </si>
  <si>
    <t>2025-02-24</t>
  </si>
  <si>
    <t>ORD-0192</t>
  </si>
  <si>
    <t>ORD-0193</t>
  </si>
  <si>
    <t>ORD-0194</t>
  </si>
  <si>
    <t>2025-06-15</t>
  </si>
  <si>
    <t>customer69@example.com</t>
  </si>
  <si>
    <t>ORD-0196</t>
  </si>
  <si>
    <t>2025-06-09</t>
  </si>
  <si>
    <t>ORD-0197</t>
  </si>
  <si>
    <t>ORD-0198</t>
  </si>
  <si>
    <t>2025-02-09</t>
  </si>
  <si>
    <t>ORD-0199</t>
  </si>
  <si>
    <t>ORD-0200</t>
  </si>
  <si>
    <t>2025-01-30</t>
  </si>
  <si>
    <t>customer102@example.com</t>
  </si>
  <si>
    <t>ORD-0201</t>
  </si>
  <si>
    <t>ORD-0202</t>
  </si>
  <si>
    <t>2025-03-11</t>
  </si>
  <si>
    <t>ORD-0203</t>
  </si>
  <si>
    <t>2025-03-02</t>
  </si>
  <si>
    <t>customer1@example.com</t>
  </si>
  <si>
    <t>ORD-0205</t>
  </si>
  <si>
    <t>2025-02-27</t>
  </si>
  <si>
    <t>ORD-0206</t>
  </si>
  <si>
    <t>2025-01-25</t>
  </si>
  <si>
    <t>ORD-0207</t>
  </si>
  <si>
    <t>ORD-0208</t>
  </si>
  <si>
    <t>2025-07-31</t>
  </si>
  <si>
    <t>customer127@example.com</t>
  </si>
  <si>
    <t>ORD-0209</t>
  </si>
  <si>
    <t>customer77@example.com</t>
  </si>
  <si>
    <t>ORD-0210</t>
  </si>
  <si>
    <t>Whatsapp</t>
  </si>
  <si>
    <t>ORD-0211</t>
  </si>
  <si>
    <t>2025-05-05</t>
  </si>
  <si>
    <t>ORD-0212</t>
  </si>
  <si>
    <t>2025-01-27</t>
  </si>
  <si>
    <t>ORD-0213</t>
  </si>
  <si>
    <t>customer31@example.com</t>
  </si>
  <si>
    <t>ORD-0214</t>
  </si>
  <si>
    <t>2025-04-15</t>
  </si>
  <si>
    <t>customer120@example.com</t>
  </si>
  <si>
    <t>ORD-0215</t>
  </si>
  <si>
    <t>2025-07-04</t>
  </si>
  <si>
    <t>ORD-0216</t>
  </si>
  <si>
    <t>ORD-0217</t>
  </si>
  <si>
    <t>2025-05-06</t>
  </si>
  <si>
    <t>ORD-0218</t>
  </si>
  <si>
    <t>2025-06-30</t>
  </si>
  <si>
    <t>ORD-0220</t>
  </si>
  <si>
    <t>2025-01-31</t>
  </si>
  <si>
    <t>customer2@example.com</t>
  </si>
  <si>
    <t>ORD-0221</t>
  </si>
  <si>
    <t>ORD-0222</t>
  </si>
  <si>
    <t>2025-09-27</t>
  </si>
  <si>
    <t>ORD-0223</t>
  </si>
  <si>
    <t>customer104@example.com</t>
  </si>
  <si>
    <t>ORD-0224</t>
  </si>
  <si>
    <t>2025-01-05</t>
  </si>
  <si>
    <t>ORD-0225</t>
  </si>
  <si>
    <t>customer46@example.com</t>
  </si>
  <si>
    <t>ORD-0226</t>
  </si>
  <si>
    <t>ORD-0227</t>
  </si>
  <si>
    <t>ORD-0229</t>
  </si>
  <si>
    <t xml:space="preserve">Cairo </t>
  </si>
  <si>
    <t>ORD-0230</t>
  </si>
  <si>
    <t>ORD-0231</t>
  </si>
  <si>
    <t>ORD-0232</t>
  </si>
  <si>
    <t>ORD-0233</t>
  </si>
  <si>
    <t>ORD-0234</t>
  </si>
  <si>
    <t>2025-09-05</t>
  </si>
  <si>
    <t>ORD-0235</t>
  </si>
  <si>
    <t>2025-07-22</t>
  </si>
  <si>
    <t>ORD-0236</t>
  </si>
  <si>
    <t>customer81@example.com</t>
  </si>
  <si>
    <t>ORD-0237</t>
  </si>
  <si>
    <t>2025-05-30</t>
  </si>
  <si>
    <t>customer101@example.com</t>
  </si>
  <si>
    <t>ORD-0239</t>
  </si>
  <si>
    <t>ORD-0240</t>
  </si>
  <si>
    <t>ORD-0241</t>
  </si>
  <si>
    <t>ORD-0242</t>
  </si>
  <si>
    <t>ORD-0244</t>
  </si>
  <si>
    <t>2025-03-14</t>
  </si>
  <si>
    <t>ORD-0245</t>
  </si>
  <si>
    <t>2025-08-20</t>
  </si>
  <si>
    <t>customer88@example.com</t>
  </si>
  <si>
    <t>ORD-0246</t>
  </si>
  <si>
    <t>ORD-0247</t>
  </si>
  <si>
    <t>ORD-0248</t>
  </si>
  <si>
    <t>customer84@example.com</t>
  </si>
  <si>
    <t>ORD-0249</t>
  </si>
  <si>
    <t>ORD-0250</t>
  </si>
  <si>
    <t>ORD-0251</t>
  </si>
  <si>
    <t>ORD-0252</t>
  </si>
  <si>
    <t>2025-03-30</t>
  </si>
  <si>
    <t>ORD-0253</t>
  </si>
  <si>
    <t xml:space="preserve">returned </t>
  </si>
  <si>
    <t>ORD-0254</t>
  </si>
  <si>
    <t>ORD-0255</t>
  </si>
  <si>
    <t>ORD-0256</t>
  </si>
  <si>
    <t xml:space="preserve">Alexandria </t>
  </si>
  <si>
    <t>ORD-0257</t>
  </si>
  <si>
    <t>2025-02-14</t>
  </si>
  <si>
    <t>ORD-0258</t>
  </si>
  <si>
    <t>ORD-0259</t>
  </si>
  <si>
    <t>2025-09-21</t>
  </si>
  <si>
    <t>ORD-0260</t>
  </si>
  <si>
    <t>2025-05-07</t>
  </si>
  <si>
    <t>ORD-0261</t>
  </si>
  <si>
    <t>2025-02-17</t>
  </si>
  <si>
    <t>ORD-0262</t>
  </si>
  <si>
    <t>ORD-0263</t>
  </si>
  <si>
    <t>ORD-0264</t>
  </si>
  <si>
    <t>2025-08-24</t>
  </si>
  <si>
    <t>ORD-0265</t>
  </si>
  <si>
    <t>2025-06-04</t>
  </si>
  <si>
    <t>customer22@example.com</t>
  </si>
  <si>
    <t>ORD-0266</t>
  </si>
  <si>
    <t>ORD-0267</t>
  </si>
  <si>
    <t>ORD-0268</t>
  </si>
  <si>
    <t>ORD-0269</t>
  </si>
  <si>
    <t>ORD-0270</t>
  </si>
  <si>
    <t>2025-04-20</t>
  </si>
  <si>
    <t>ORD-0271</t>
  </si>
  <si>
    <t>ORD-0272</t>
  </si>
  <si>
    <t>ORD-0273</t>
  </si>
  <si>
    <t>customer4@example.com</t>
  </si>
  <si>
    <t>ORD-0274</t>
  </si>
  <si>
    <t>2025-08-04</t>
  </si>
  <si>
    <t>ORD-0275</t>
  </si>
  <si>
    <t>ORD-0276</t>
  </si>
  <si>
    <t>ORD-0277</t>
  </si>
  <si>
    <t>2025-02-03</t>
  </si>
  <si>
    <t>ORD-0278</t>
  </si>
  <si>
    <t>customer42@example.com</t>
  </si>
  <si>
    <t>ORD-0279</t>
  </si>
  <si>
    <t>2025-05-13</t>
  </si>
  <si>
    <t>ORD-0280</t>
  </si>
  <si>
    <t>2025-02-02</t>
  </si>
  <si>
    <t>ORD-0282</t>
  </si>
  <si>
    <t>2025-01-24</t>
  </si>
  <si>
    <t>customer108@example.com</t>
  </si>
  <si>
    <t>ORD-0283</t>
  </si>
  <si>
    <t>ORD-0284</t>
  </si>
  <si>
    <t>ORD-0285</t>
  </si>
  <si>
    <t>ORD-0286</t>
  </si>
  <si>
    <t>ORD-0287</t>
  </si>
  <si>
    <t>ORD-0288</t>
  </si>
  <si>
    <t>ORD-0289</t>
  </si>
  <si>
    <t>2025-02-18</t>
  </si>
  <si>
    <t>ORD-0290</t>
  </si>
  <si>
    <t>ORD-0291</t>
  </si>
  <si>
    <t>ORD-0292</t>
  </si>
  <si>
    <t>2025-04-17</t>
  </si>
  <si>
    <t>ORD-0293</t>
  </si>
  <si>
    <t>ORD-0294</t>
  </si>
  <si>
    <t>ORD-0295</t>
  </si>
  <si>
    <t>2025-01-07</t>
  </si>
  <si>
    <t>ORD-0296</t>
  </si>
  <si>
    <t>2025-02-08</t>
  </si>
  <si>
    <t>ORD-0297</t>
  </si>
  <si>
    <t>2025-01-26</t>
  </si>
  <si>
    <t>ORD-0298</t>
  </si>
  <si>
    <t>ORD-0299</t>
  </si>
  <si>
    <t>ORD-0300</t>
  </si>
  <si>
    <t>ORD-0301</t>
  </si>
  <si>
    <t>ORD-0302</t>
  </si>
  <si>
    <t>ORD-0303</t>
  </si>
  <si>
    <t>ORD-0304</t>
  </si>
  <si>
    <t>2025-04-07</t>
  </si>
  <si>
    <t>ORD-0305</t>
  </si>
  <si>
    <t>ORD-0306</t>
  </si>
  <si>
    <t>ORD-0307</t>
  </si>
  <si>
    <t>ORD-0308</t>
  </si>
  <si>
    <t>ORD-0309</t>
  </si>
  <si>
    <t>2025-03-07</t>
  </si>
  <si>
    <t>ORD-0310</t>
  </si>
  <si>
    <t>ORD-0311</t>
  </si>
  <si>
    <t>2025-02-15</t>
  </si>
  <si>
    <t>ORD-0312</t>
  </si>
  <si>
    <t>ORD-0313</t>
  </si>
  <si>
    <t>ORD-0314</t>
  </si>
  <si>
    <t>2025-01-11</t>
  </si>
  <si>
    <t>ORD-0315</t>
  </si>
  <si>
    <t>ORD-0316</t>
  </si>
  <si>
    <t>ORD-0317</t>
  </si>
  <si>
    <t>ORD-0318</t>
  </si>
  <si>
    <t>ORD-0319</t>
  </si>
  <si>
    <t>2025-02-16</t>
  </si>
  <si>
    <t>ORD-0320</t>
  </si>
  <si>
    <t>ORD-0321</t>
  </si>
  <si>
    <t>ORD-0322</t>
  </si>
  <si>
    <t>2025-01-18</t>
  </si>
  <si>
    <t>ORD-0323</t>
  </si>
  <si>
    <t>ORD-0324</t>
  </si>
  <si>
    <t>ORD-0325</t>
  </si>
  <si>
    <t>2025-09-25</t>
  </si>
  <si>
    <t>ORD-0326</t>
  </si>
  <si>
    <t>ORD-0327</t>
  </si>
  <si>
    <t>ORD-0328</t>
  </si>
  <si>
    <t>ORD-0329</t>
  </si>
  <si>
    <t>2025-06-14</t>
  </si>
  <si>
    <t>ORD-0330</t>
  </si>
  <si>
    <t>2025-09-06</t>
  </si>
  <si>
    <t>ORD-0331</t>
  </si>
  <si>
    <t>ORD-0332</t>
  </si>
  <si>
    <t>not available</t>
  </si>
  <si>
    <t>ORD-0333</t>
  </si>
  <si>
    <t>2025-04-01</t>
  </si>
  <si>
    <t>customer67@example.com</t>
  </si>
  <si>
    <t>ORD-0334</t>
  </si>
  <si>
    <t>2025-03-25</t>
  </si>
  <si>
    <t>ORD-0335</t>
  </si>
  <si>
    <t>ORD-0336</t>
  </si>
  <si>
    <t>ORD-0337</t>
  </si>
  <si>
    <t>2025-07-23</t>
  </si>
  <si>
    <t>ORD-0338</t>
  </si>
  <si>
    <t>customer39@example.com</t>
  </si>
  <si>
    <t>ORD-0339</t>
  </si>
  <si>
    <t>ORD-0340</t>
  </si>
  <si>
    <t>ORD-0341</t>
  </si>
  <si>
    <t>ORD-0342</t>
  </si>
  <si>
    <t>ORD-0343</t>
  </si>
  <si>
    <t>ORD-0344</t>
  </si>
  <si>
    <t>ORD-0345</t>
  </si>
  <si>
    <t>customer44@example.com</t>
  </si>
  <si>
    <t>ORD-0346</t>
  </si>
  <si>
    <t>ORD-0347</t>
  </si>
  <si>
    <t>ORD-0348</t>
  </si>
  <si>
    <t>ORD-0349</t>
  </si>
  <si>
    <t>ORD-0350</t>
  </si>
  <si>
    <t>customer6@example.com</t>
  </si>
  <si>
    <t>Item</t>
  </si>
  <si>
    <t>Details</t>
  </si>
  <si>
    <t>Project scenario</t>
  </si>
  <si>
    <t>A small Egyptian retail business selling electronics, stationery, home goods, and accessories.</t>
  </si>
  <si>
    <t>Business question</t>
  </si>
  <si>
    <t>Which products, cities, and sales channels drive revenue, and where are returns/cancellations concentrated?</t>
  </si>
  <si>
    <t>Suggested Excel tasks</t>
  </si>
  <si>
    <t>Inspect data quality; standardize dates and labels; handle blanks; identify duplicates and invalid quantities/discounts; calculate Net Sales; build PivotTables and a dashboard.</t>
  </si>
  <si>
    <t>Important note</t>
  </si>
  <si>
    <t>The Orders sheet intentionally contains data-quality issues. Keep a copy of the raw sheet before cleaning.</t>
  </si>
  <si>
    <t>Currency</t>
  </si>
  <si>
    <t>EGP (Egyptian pounds)</t>
  </si>
  <si>
    <t>Rows in Orders sheet</t>
  </si>
  <si>
    <t>354 records</t>
  </si>
  <si>
    <t>Sum of Net_Sales_EGP</t>
  </si>
  <si>
    <t>Total Result</t>
  </si>
  <si>
    <t>Order Status Analysis</t>
  </si>
  <si>
    <t>Count of Order_ID</t>
  </si>
  <si>
    <t>Net_Sales_EGP</t>
  </si>
  <si>
    <t>Charts (live, from Calc)</t>
  </si>
  <si>
    <t>What was done / what you need to know</t>
  </si>
  <si>
    <t>Original data</t>
  </si>
  <si>
    <t>The original Orders_Raw sheet is preserved unchanged.</t>
  </si>
  <si>
    <t>Cleaned data</t>
  </si>
  <si>
    <t>Use the Cleaned_Data sheet as the source for your PivotTables.</t>
  </si>
  <si>
    <t>Header</t>
  </si>
  <si>
    <t>Renamed the sixth column from '=Av' to 'Category'.</t>
  </si>
  <si>
    <t>City labels</t>
  </si>
  <si>
    <t>Trimmed extra spaces and standardized capitalization (e.g. Cairo, Alexandria). 'Unknown' was retained.</t>
  </si>
  <si>
    <t>Sales channels</t>
  </si>
  <si>
    <t>Standardized capitalization and spacing (e.g. online -&gt; Online; Whatsapp -&gt; WhatsApp).</t>
  </si>
  <si>
    <t>Order statuses</t>
  </si>
  <si>
    <t>Standardized capitalization and spacing (e.g. cancelled -&gt; Cancelled; returned -&gt; Returned).</t>
  </si>
  <si>
    <t>Dates</t>
  </si>
  <si>
    <t>Converted valid YYYY-MM-DD text values to Excel date values.</t>
  </si>
  <si>
    <t>Unit price in source H6</t>
  </si>
  <si>
    <t>The source contained the text '=AVERAGE(H94,H227)'. In Cleaned_Data, this was converted to its numeric result (127.005) using the referenced values H94=122.14 and H227=131.87.</t>
  </si>
  <si>
    <t>Net sales</t>
  </si>
  <si>
    <t>Added Net_Sales_EGP = Quantity * Unit_Price_EGP * (1 - Discount_% / 100). This is calculated for every row, including non-completed statuses; use the Order_Status filter = Completed when analyzing completed sales.</t>
  </si>
  <si>
    <t>Unknown city/email</t>
  </si>
  <si>
    <t>Values labelled 'Unknown' were retained rather than guessed or replaced.</t>
  </si>
  <si>
    <t>Record-count discrepancy</t>
  </si>
  <si>
    <t>The provided file has 335 non-empty data rows, but Project_Guide says 354 records. No missing records were invented. Please ask your teammate/instructor whether 19 records were intentionally excluded or whether a fuller file exists.</t>
  </si>
  <si>
    <t>Duplicate Order_ID</t>
  </si>
  <si>
    <t>No duplicate non-empty Order_ID values were found in this file.</t>
  </si>
  <si>
    <t>Important</t>
  </si>
  <si>
    <t>Review the record-count discrepancy before treating the analysis as final. The cleaned sheet fixes formatting/label issues but does not invent missing source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</si>
</sst>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6" formatCode="#,##0;\(#,##0\);\-"/>
    <numFmt numFmtId="167" formatCode="0.0%;\(0.0%\);\-"/>
    <numFmt numFmtId="168" formatCode="yyyy\-mm\-dd"/>
    <numFmt numFmtId="169" formatCode="0\%"/>
  </numFmts>
  <fonts count="1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9"/>
      <color rgb="FF7F7F7F"/>
      <name val="Arial"/>
      <charset val="1"/>
    </font>
    <font>
      <b/>
      <sz val="11"/>
      <color rgb="FF1F3864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Calibri"/>
      <charset val="1"/>
    </font>
    <font>
      <u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244062"/>
      </patternFill>
    </fill>
    <fill>
      <patternFill patternType="solid">
        <fgColor rgb="FF244062"/>
        <bgColor rgb="FF1F3864"/>
      </patternFill>
    </fill>
    <fill>
      <patternFill patternType="solid">
        <fgColor rgb="FF1F4E78"/>
        <bgColor rgb="FF244062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36">
    <xf numFmtId="0" fontId="0" fillId="0" borderId="0" xfId="0"/>
    <xf numFmtId="0" fontId="4" fillId="0" borderId="0" xfId="0" applyFont="1"/>
    <xf numFmtId="0" fontId="3" fillId="0" borderId="0" xfId="0" applyFont="1"/>
    <xf numFmtId="0" fontId="5" fillId="2" borderId="0" xfId="0" applyFont="1" applyFill="1" applyAlignment="1">
      <alignment horizontal="center" wrapText="1"/>
    </xf>
    <xf numFmtId="0" fontId="6" fillId="0" borderId="0" xfId="0" applyFont="1"/>
    <xf numFmtId="166" fontId="6" fillId="0" borderId="0" xfId="0" applyNumberFormat="1" applyFont="1"/>
    <xf numFmtId="167" fontId="6" fillId="0" borderId="0" xfId="0" applyNumberFormat="1" applyFont="1"/>
    <xf numFmtId="0" fontId="5" fillId="2" borderId="0" xfId="0" applyFont="1" applyFill="1"/>
    <xf numFmtId="168" fontId="0" fillId="0" borderId="0" xfId="0" applyNumberFormat="1"/>
    <xf numFmtId="166" fontId="0" fillId="0" borderId="0" xfId="0" applyNumberFormat="1"/>
    <xf numFmtId="166" fontId="7" fillId="0" borderId="0" xfId="0" applyNumberFormat="1" applyFont="1"/>
    <xf numFmtId="167" fontId="7" fillId="0" borderId="0" xfId="0" applyNumberFormat="1" applyFont="1"/>
    <xf numFmtId="0" fontId="7" fillId="0" borderId="0" xfId="0" applyFont="1"/>
    <xf numFmtId="0" fontId="2" fillId="0" borderId="0" xfId="0" applyFont="1"/>
    <xf numFmtId="0" fontId="8" fillId="3" borderId="1" xfId="0" applyFont="1" applyFill="1" applyBorder="1" applyAlignment="1">
      <alignment vertical="center" wrapText="1"/>
    </xf>
    <xf numFmtId="0" fontId="9" fillId="0" borderId="0" xfId="0" applyFont="1"/>
    <xf numFmtId="0" fontId="0" fillId="0" borderId="0" xfId="1" applyFont="1"/>
    <xf numFmtId="0" fontId="0" fillId="0" borderId="1" xfId="0" applyFont="1" applyBorder="1"/>
    <xf numFmtId="0" fontId="0" fillId="0" borderId="2" xfId="1" applyFont="1" applyBorder="1"/>
    <xf numFmtId="0" fontId="0" fillId="0" borderId="3" xfId="2" applyFont="1" applyBorder="1"/>
    <xf numFmtId="0" fontId="0" fillId="0" borderId="4" xfId="4" applyFont="1" applyBorder="1">
      <alignment horizontal="left"/>
    </xf>
    <xf numFmtId="4" fontId="10" fillId="0" borderId="5" xfId="3" applyNumberFormat="1" applyBorder="1"/>
    <xf numFmtId="0" fontId="0" fillId="0" borderId="6" xfId="4" applyFont="1" applyBorder="1">
      <alignment horizontal="left"/>
    </xf>
    <xf numFmtId="4" fontId="10" fillId="0" borderId="7" xfId="3" applyNumberFormat="1" applyBorder="1"/>
    <xf numFmtId="4" fontId="10" fillId="0" borderId="8" xfId="3" applyNumberFormat="1" applyBorder="1"/>
    <xf numFmtId="0" fontId="1" fillId="0" borderId="9" xfId="5" applyFont="1" applyBorder="1">
      <alignment horizontal="left"/>
    </xf>
    <xf numFmtId="4" fontId="1" fillId="0" borderId="10" xfId="6" applyNumberFormat="1" applyBorder="1"/>
    <xf numFmtId="0" fontId="10" fillId="0" borderId="5" xfId="3" applyBorder="1"/>
    <xf numFmtId="0" fontId="10" fillId="0" borderId="7" xfId="3" applyBorder="1"/>
    <xf numFmtId="0" fontId="10" fillId="0" borderId="8" xfId="3" applyBorder="1"/>
    <xf numFmtId="0" fontId="1" fillId="0" borderId="10" xfId="6" applyBorder="1"/>
    <xf numFmtId="0" fontId="8" fillId="4" borderId="0" xfId="0" applyFont="1" applyFill="1" applyAlignment="1">
      <alignment horizontal="center" vertical="center"/>
    </xf>
    <xf numFmtId="4" fontId="0" fillId="0" borderId="0" xfId="0" applyNumberFormat="1"/>
    <xf numFmtId="169" fontId="0" fillId="0" borderId="0" xfId="0" applyNumberFormat="1"/>
    <xf numFmtId="0" fontId="0" fillId="0" borderId="0" xfId="0" applyFont="1" applyAlignment="1">
      <alignment vertical="top" wrapText="1"/>
    </xf>
    <xf numFmtId="0" fontId="11" fillId="0" borderId="0" xfId="0" applyFont="1"/>
  </cellXfs>
  <cellStyles count="7">
    <cellStyle name="Normal" xfId="0" builtinId="0"/>
    <cellStyle name="Pivot Table Category" xfId="4"/>
    <cellStyle name="Pivot Table Corner" xfId="2"/>
    <cellStyle name="Pivot Table Field" xfId="1"/>
    <cellStyle name="Pivot Table Result" xfId="6"/>
    <cellStyle name="Pivot Table Title" xfId="5"/>
    <cellStyle name="Pivot Table Value" xf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1F4E7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244062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Net sales (EGP</a:t>
            </a:r>
            <a:r>
              <a:rPr lang="en-US"/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73954194266468"/>
          <c:y val="6.6408285003570822E-2"/>
          <c:w val="0.85322885214372479"/>
          <c:h val="0.77159064748977357"/>
        </c:manualLayout>
      </c:layout>
      <c:lineChart>
        <c:grouping val="standard"/>
        <c:varyColors val="0"/>
        <c:ser>
          <c:idx val="0"/>
          <c:order val="0"/>
          <c:tx>
            <c:strRef>
              <c:f>Calc!$C$51</c:f>
              <c:strCache>
                <c:ptCount val="1"/>
                <c:pt idx="0">
                  <c:v>Net sales (EGP)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cat>
            <c:strRef>
              <c:f>Calc!$A$52:$A$60</c:f>
              <c:strCache>
                <c:ptCount val="9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</c:strCache>
            </c:strRef>
          </c:cat>
          <c:val>
            <c:numRef>
              <c:f>Calc!$C$52:$C$60</c:f>
              <c:numCache>
                <c:formatCode>#,##0;\(#,##0\);\-</c:formatCode>
                <c:ptCount val="9"/>
                <c:pt idx="0">
                  <c:v>17625.018999999997</c:v>
                </c:pt>
                <c:pt idx="1">
                  <c:v>21132.757000000001</c:v>
                </c:pt>
                <c:pt idx="2">
                  <c:v>10332.147499999999</c:v>
                </c:pt>
                <c:pt idx="3">
                  <c:v>14648.552</c:v>
                </c:pt>
                <c:pt idx="4">
                  <c:v>14735.001499999997</c:v>
                </c:pt>
                <c:pt idx="5">
                  <c:v>13884.5825</c:v>
                </c:pt>
                <c:pt idx="6">
                  <c:v>11367.763000000001</c:v>
                </c:pt>
                <c:pt idx="7">
                  <c:v>14449.832000000002</c:v>
                </c:pt>
                <c:pt idx="8">
                  <c:v>10819.565500000001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9B-44C1-AB92-5199AB075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44538241"/>
        <c:axId val="29517314"/>
      </c:lineChart>
      <c:catAx>
        <c:axId val="445382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7314"/>
        <c:crosses val="autoZero"/>
        <c:auto val="1"/>
        <c:lblAlgn val="ctr"/>
        <c:lblOffset val="100"/>
        <c:noMultiLvlLbl val="0"/>
      </c:catAx>
      <c:valAx>
        <c:axId val="295173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3824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channel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Calc!$B$37</c:f>
              <c:strCache>
                <c:ptCount val="1"/>
                <c:pt idx="0">
                  <c:v>Net sales (EGP)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B2A-419A-A9F7-943C257A4E3D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B2A-419A-A9F7-943C257A4E3D}"/>
              </c:ext>
            </c:extLst>
          </c:dPt>
          <c:dPt>
            <c:idx val="2"/>
            <c:bubble3D val="0"/>
            <c:spPr>
              <a:solidFill>
                <a:srgbClr val="9DC3E6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4B2A-419A-A9F7-943C257A4E3D}"/>
              </c:ext>
            </c:extLst>
          </c:dPt>
          <c:dPt>
            <c:idx val="3"/>
            <c:bubble3D val="0"/>
            <c:spPr>
              <a:solidFill>
                <a:srgbClr val="7F7F7F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4B2A-419A-A9F7-943C257A4E3D}"/>
              </c:ext>
            </c:extLst>
          </c:dPt>
          <c:dLbls>
            <c:dLbl>
              <c:idx val="0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B2A-419A-A9F7-943C257A4E3D}"/>
                </c:ext>
              </c:extLst>
            </c:dLbl>
            <c:dLbl>
              <c:idx val="1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B2A-419A-A9F7-943C257A4E3D}"/>
                </c:ext>
              </c:extLst>
            </c:dLbl>
            <c:dLbl>
              <c:idx val="2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4B2A-419A-A9F7-943C257A4E3D}"/>
                </c:ext>
              </c:extLst>
            </c:dLbl>
            <c:dLbl>
              <c:idx val="3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4B2A-419A-A9F7-943C257A4E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Calc!$A$38:$A$41</c:f>
              <c:strCache>
                <c:ptCount val="4"/>
                <c:pt idx="0">
                  <c:v>Facebook</c:v>
                </c:pt>
                <c:pt idx="1">
                  <c:v>Online</c:v>
                </c:pt>
                <c:pt idx="2">
                  <c:v>WhatsApp</c:v>
                </c:pt>
                <c:pt idx="3">
                  <c:v>Store</c:v>
                </c:pt>
              </c:strCache>
            </c:strRef>
          </c:cat>
          <c:val>
            <c:numRef>
              <c:f>Calc!$B$38:$B$41</c:f>
              <c:numCache>
                <c:formatCode>#,##0;\(#,##0\);\-</c:formatCode>
                <c:ptCount val="4"/>
                <c:pt idx="0">
                  <c:v>39598.177999999993</c:v>
                </c:pt>
                <c:pt idx="1">
                  <c:v>35935.887999999999</c:v>
                </c:pt>
                <c:pt idx="2">
                  <c:v>33044.443500000008</c:v>
                </c:pt>
                <c:pt idx="3">
                  <c:v>21913.091500000002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2A-419A-A9F7-943C257A4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3458660695312983"/>
          <c:y val="0.39262245847587185"/>
          <c:w val="0.17634802537872066"/>
          <c:h val="0.3946873864096291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sales (EGP)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01215922967186"/>
          <c:y val="7.7870192990532675E-2"/>
          <c:w val="0.85322885214372479"/>
          <c:h val="0.825161993168052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Calc!$B$18</c:f>
              <c:strCache>
                <c:ptCount val="1"/>
                <c:pt idx="0">
                  <c:v>Net sales (EGP)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Calc!$A$19:$A$25</c:f>
              <c:strCache>
                <c:ptCount val="7"/>
                <c:pt idx="0">
                  <c:v>Giza</c:v>
                </c:pt>
                <c:pt idx="1">
                  <c:v>Aswan</c:v>
                </c:pt>
                <c:pt idx="2">
                  <c:v>Mansoura</c:v>
                </c:pt>
                <c:pt idx="3">
                  <c:v>Tanta</c:v>
                </c:pt>
                <c:pt idx="4">
                  <c:v>Cairo</c:v>
                </c:pt>
                <c:pt idx="5">
                  <c:v>Alexandria</c:v>
                </c:pt>
                <c:pt idx="6">
                  <c:v>Unknown</c:v>
                </c:pt>
              </c:strCache>
            </c:strRef>
          </c:cat>
          <c:val>
            <c:numRef>
              <c:f>Calc!$B$19:$B$25</c:f>
              <c:numCache>
                <c:formatCode>#,##0;\(#,##0\);\-</c:formatCode>
                <c:ptCount val="7"/>
                <c:pt idx="0">
                  <c:v>31587.162499999999</c:v>
                </c:pt>
                <c:pt idx="1">
                  <c:v>21340.655999999999</c:v>
                </c:pt>
                <c:pt idx="2">
                  <c:v>20239.900499999996</c:v>
                </c:pt>
                <c:pt idx="3">
                  <c:v>19703.739000000001</c:v>
                </c:pt>
                <c:pt idx="4">
                  <c:v>18596.392000000003</c:v>
                </c:pt>
                <c:pt idx="5">
                  <c:v>18497.050000000003</c:v>
                </c:pt>
                <c:pt idx="6">
                  <c:v>526.70100000000002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F-4137-9E1F-6F10406FA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25921"/>
        <c:axId val="93422233"/>
      </c:barChart>
      <c:catAx>
        <c:axId val="377259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22233"/>
        <c:crosses val="autoZero"/>
        <c:auto val="1"/>
        <c:lblAlgn val="ctr"/>
        <c:lblOffset val="100"/>
        <c:noMultiLvlLbl val="0"/>
      </c:catAx>
      <c:valAx>
        <c:axId val="934222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25921"/>
        <c:crosses val="autoZero"/>
        <c:crossBetween val="between"/>
      </c:valAx>
      <c:spPr>
        <a:noFill/>
        <a:ln>
          <a:noFill/>
        </a:ln>
        <a:effectLst>
          <a:glow rad="127000">
            <a:schemeClr val="tx2"/>
          </a:glow>
        </a:effectLst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27000">
        <a:schemeClr val="bg1"/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Calc!$B$4</c:f>
              <c:strCache>
                <c:ptCount val="1"/>
                <c:pt idx="0">
                  <c:v>Net sales (EGP)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Calc!$A$5:$A$14</c:f>
              <c:strCache>
                <c:ptCount val="10"/>
                <c:pt idx="0">
                  <c:v>Headphones</c:v>
                </c:pt>
                <c:pt idx="1">
                  <c:v>Backpack</c:v>
                </c:pt>
                <c:pt idx="2">
                  <c:v>Desk Lamp</c:v>
                </c:pt>
                <c:pt idx="3">
                  <c:v>Keyboard</c:v>
                </c:pt>
                <c:pt idx="4">
                  <c:v>Water Bottle</c:v>
                </c:pt>
                <c:pt idx="5">
                  <c:v>Wireless Mouse</c:v>
                </c:pt>
                <c:pt idx="6">
                  <c:v>Phone Stand</c:v>
                </c:pt>
                <c:pt idx="7">
                  <c:v>USB-C Cable</c:v>
                </c:pt>
                <c:pt idx="8">
                  <c:v>Pen Set</c:v>
                </c:pt>
                <c:pt idx="9">
                  <c:v>Notebook</c:v>
                </c:pt>
              </c:strCache>
            </c:strRef>
          </c:cat>
          <c:val>
            <c:numRef>
              <c:f>Calc!$B$5:$B$14</c:f>
              <c:numCache>
                <c:formatCode>#,##0;\(#,##0\);\-</c:formatCode>
                <c:ptCount val="10"/>
                <c:pt idx="0">
                  <c:v>32058.496000000006</c:v>
                </c:pt>
                <c:pt idx="1">
                  <c:v>29689.490999999998</c:v>
                </c:pt>
                <c:pt idx="2">
                  <c:v>21851.7935</c:v>
                </c:pt>
                <c:pt idx="3">
                  <c:v>21558.456500000004</c:v>
                </c:pt>
                <c:pt idx="4">
                  <c:v>6758.1394999999984</c:v>
                </c:pt>
                <c:pt idx="5">
                  <c:v>5622.6600000000017</c:v>
                </c:pt>
                <c:pt idx="6">
                  <c:v>4684.1449999999995</c:v>
                </c:pt>
                <c:pt idx="7">
                  <c:v>3704.9365000000003</c:v>
                </c:pt>
                <c:pt idx="8">
                  <c:v>2444.1410000000001</c:v>
                </c:pt>
                <c:pt idx="9">
                  <c:v>2119.3419999999996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3-4C64-8DD7-72EFC44DA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09298"/>
        <c:axId val="638317"/>
      </c:barChart>
      <c:catAx>
        <c:axId val="7700929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8317"/>
        <c:crosses val="autoZero"/>
        <c:auto val="1"/>
        <c:lblAlgn val="ctr"/>
        <c:lblOffset val="100"/>
        <c:noMultiLvlLbl val="0"/>
      </c:catAx>
      <c:valAx>
        <c:axId val="638317"/>
        <c:scaling>
          <c:orientation val="minMax"/>
        </c:scaling>
        <c:delete val="0"/>
        <c:axPos val="t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0092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net sales (Completed, EGP)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Calc!$C$51</c:f>
              <c:strCache>
                <c:ptCount val="1"/>
                <c:pt idx="0">
                  <c:v>Net sales (EGP)</c:v>
                </c:pt>
              </c:strCache>
            </c:strRef>
          </c:tx>
          <c:spPr>
            <a:ln w="28080">
              <a:solidFill>
                <a:srgbClr val="2E75B6"/>
              </a:solidFill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Calc!$A$52:$A$60</c:f>
              <c:strCache>
                <c:ptCount val="9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</c:strCache>
            </c:strRef>
          </c:cat>
          <c:val>
            <c:numRef>
              <c:f>Calc!$C$52:$C$60</c:f>
              <c:numCache>
                <c:formatCode>#,##0;\(#,##0\);\-</c:formatCode>
                <c:ptCount val="9"/>
                <c:pt idx="0">
                  <c:v>17625.018999999997</c:v>
                </c:pt>
                <c:pt idx="1">
                  <c:v>21132.757000000001</c:v>
                </c:pt>
                <c:pt idx="2">
                  <c:v>10332.147499999999</c:v>
                </c:pt>
                <c:pt idx="3">
                  <c:v>14648.552</c:v>
                </c:pt>
                <c:pt idx="4">
                  <c:v>14735.001499999997</c:v>
                </c:pt>
                <c:pt idx="5">
                  <c:v>13884.5825</c:v>
                </c:pt>
                <c:pt idx="6">
                  <c:v>11367.763000000001</c:v>
                </c:pt>
                <c:pt idx="7">
                  <c:v>14449.832000000002</c:v>
                </c:pt>
                <c:pt idx="8">
                  <c:v>10819.565500000001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06-4EED-AB56-874E39723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7187216"/>
        <c:axId val="67004073"/>
      </c:lineChart>
      <c:catAx>
        <c:axId val="5718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004073"/>
        <c:crosses val="autoZero"/>
        <c:auto val="1"/>
        <c:lblAlgn val="ctr"/>
        <c:lblOffset val="100"/>
        <c:noMultiLvlLbl val="0"/>
      </c:catAx>
      <c:valAx>
        <c:axId val="6700407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1872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Net sales by product (EGP)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Calc!$B$4</c:f>
              <c:strCache>
                <c:ptCount val="1"/>
                <c:pt idx="0">
                  <c:v>Net sales (EGP)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Calc!$A$5:$A$14</c:f>
              <c:strCache>
                <c:ptCount val="10"/>
                <c:pt idx="0">
                  <c:v>Headphones</c:v>
                </c:pt>
                <c:pt idx="1">
                  <c:v>Backpack</c:v>
                </c:pt>
                <c:pt idx="2">
                  <c:v>Desk Lamp</c:v>
                </c:pt>
                <c:pt idx="3">
                  <c:v>Keyboard</c:v>
                </c:pt>
                <c:pt idx="4">
                  <c:v>Water Bottle</c:v>
                </c:pt>
                <c:pt idx="5">
                  <c:v>Wireless Mouse</c:v>
                </c:pt>
                <c:pt idx="6">
                  <c:v>Phone Stand</c:v>
                </c:pt>
                <c:pt idx="7">
                  <c:v>USB-C Cable</c:v>
                </c:pt>
                <c:pt idx="8">
                  <c:v>Pen Set</c:v>
                </c:pt>
                <c:pt idx="9">
                  <c:v>Notebook</c:v>
                </c:pt>
              </c:strCache>
            </c:strRef>
          </c:cat>
          <c:val>
            <c:numRef>
              <c:f>Calc!$B$5:$B$14</c:f>
              <c:numCache>
                <c:formatCode>#,##0;\(#,##0\);\-</c:formatCode>
                <c:ptCount val="10"/>
                <c:pt idx="0">
                  <c:v>32058.496000000006</c:v>
                </c:pt>
                <c:pt idx="1">
                  <c:v>29689.490999999998</c:v>
                </c:pt>
                <c:pt idx="2">
                  <c:v>21851.7935</c:v>
                </c:pt>
                <c:pt idx="3">
                  <c:v>21558.456500000004</c:v>
                </c:pt>
                <c:pt idx="4">
                  <c:v>6758.1394999999984</c:v>
                </c:pt>
                <c:pt idx="5">
                  <c:v>5622.6600000000017</c:v>
                </c:pt>
                <c:pt idx="6">
                  <c:v>4684.1449999999995</c:v>
                </c:pt>
                <c:pt idx="7">
                  <c:v>3704.9365000000003</c:v>
                </c:pt>
                <c:pt idx="8">
                  <c:v>2444.1410000000001</c:v>
                </c:pt>
                <c:pt idx="9">
                  <c:v>2119.3419999999996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8-447C-8196-D8190EB4E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865483"/>
        <c:axId val="56117991"/>
      </c:barChart>
      <c:catAx>
        <c:axId val="778654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117991"/>
        <c:crosses val="autoZero"/>
        <c:auto val="1"/>
        <c:lblAlgn val="ctr"/>
        <c:lblOffset val="100"/>
        <c:noMultiLvlLbl val="0"/>
      </c:catAx>
      <c:valAx>
        <c:axId val="56117991"/>
        <c:scaling>
          <c:orientation val="minMax"/>
        </c:scaling>
        <c:delete val="0"/>
        <c:axPos val="t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8654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Net sales by city (EGP), Unknown last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Calc!$B$18</c:f>
              <c:strCache>
                <c:ptCount val="1"/>
                <c:pt idx="0">
                  <c:v>Net sales (EGP)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Calc!$A$19:$A$25</c:f>
              <c:strCache>
                <c:ptCount val="7"/>
                <c:pt idx="0">
                  <c:v>Giza</c:v>
                </c:pt>
                <c:pt idx="1">
                  <c:v>Aswan</c:v>
                </c:pt>
                <c:pt idx="2">
                  <c:v>Mansoura</c:v>
                </c:pt>
                <c:pt idx="3">
                  <c:v>Tanta</c:v>
                </c:pt>
                <c:pt idx="4">
                  <c:v>Cairo</c:v>
                </c:pt>
                <c:pt idx="5">
                  <c:v>Alexandria</c:v>
                </c:pt>
                <c:pt idx="6">
                  <c:v>Unknown</c:v>
                </c:pt>
              </c:strCache>
            </c:strRef>
          </c:cat>
          <c:val>
            <c:numRef>
              <c:f>Calc!$B$19:$B$25</c:f>
              <c:numCache>
                <c:formatCode>#,##0;\(#,##0\);\-</c:formatCode>
                <c:ptCount val="7"/>
                <c:pt idx="0">
                  <c:v>31587.162499999999</c:v>
                </c:pt>
                <c:pt idx="1">
                  <c:v>21340.655999999999</c:v>
                </c:pt>
                <c:pt idx="2">
                  <c:v>20239.900499999996</c:v>
                </c:pt>
                <c:pt idx="3">
                  <c:v>19703.739000000001</c:v>
                </c:pt>
                <c:pt idx="4">
                  <c:v>18596.392000000003</c:v>
                </c:pt>
                <c:pt idx="5">
                  <c:v>18497.050000000003</c:v>
                </c:pt>
                <c:pt idx="6">
                  <c:v>526.70100000000002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9-410A-BB77-A6DABAB48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1309"/>
        <c:axId val="43579288"/>
      </c:barChart>
      <c:catAx>
        <c:axId val="43413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579288"/>
        <c:crosses val="autoZero"/>
        <c:auto val="1"/>
        <c:lblAlgn val="ctr"/>
        <c:lblOffset val="100"/>
        <c:noMultiLvlLbl val="0"/>
      </c:catAx>
      <c:valAx>
        <c:axId val="4357928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413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Share of net sales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Calc!$B$37</c:f>
              <c:strCache>
                <c:ptCount val="1"/>
                <c:pt idx="0">
                  <c:v>Net sales (EGP)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B1C-48BF-BF28-58F7FDB41F80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B1C-48BF-BF28-58F7FDB41F80}"/>
              </c:ext>
            </c:extLst>
          </c:dPt>
          <c:dPt>
            <c:idx val="2"/>
            <c:bubble3D val="0"/>
            <c:spPr>
              <a:solidFill>
                <a:srgbClr val="9DC3E6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4B1C-48BF-BF28-58F7FDB41F80}"/>
              </c:ext>
            </c:extLst>
          </c:dPt>
          <c:dPt>
            <c:idx val="3"/>
            <c:bubble3D val="0"/>
            <c:spPr>
              <a:solidFill>
                <a:srgbClr val="7F7F7F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4B1C-48BF-BF28-58F7FDB41F8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B1C-48BF-BF28-58F7FDB41F8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B1C-48BF-BF28-58F7FDB41F8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B1C-48BF-BF28-58F7FDB41F8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4B1C-48BF-BF28-58F7FDB41F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Calc!$A$38:$A$41</c:f>
              <c:strCache>
                <c:ptCount val="4"/>
                <c:pt idx="0">
                  <c:v>Facebook</c:v>
                </c:pt>
                <c:pt idx="1">
                  <c:v>Online</c:v>
                </c:pt>
                <c:pt idx="2">
                  <c:v>WhatsApp</c:v>
                </c:pt>
                <c:pt idx="3">
                  <c:v>Store</c:v>
                </c:pt>
              </c:strCache>
            </c:strRef>
          </c:cat>
          <c:val>
            <c:numRef>
              <c:f>Calc!$B$38:$B$41</c:f>
              <c:numCache>
                <c:formatCode>#,##0;\(#,##0\);\-</c:formatCode>
                <c:ptCount val="4"/>
                <c:pt idx="0">
                  <c:v>39598.177999999993</c:v>
                </c:pt>
                <c:pt idx="1">
                  <c:v>35935.887999999999</c:v>
                </c:pt>
                <c:pt idx="2">
                  <c:v>33044.443500000008</c:v>
                </c:pt>
                <c:pt idx="3">
                  <c:v>21913.091500000002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1C-48BF-BF28-58F7FDB41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Net sales by category (EGP)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Calc!$B$29</c:f>
              <c:strCache>
                <c:ptCount val="1"/>
                <c:pt idx="0">
                  <c:v>Net sales (EGP)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Calc!$A$30:$A$33</c:f>
              <c:strCache>
                <c:ptCount val="4"/>
                <c:pt idx="0">
                  <c:v>Electronics</c:v>
                </c:pt>
                <c:pt idx="1">
                  <c:v>Accessories</c:v>
                </c:pt>
                <c:pt idx="2">
                  <c:v>Home &amp; Kitchen</c:v>
                </c:pt>
                <c:pt idx="3">
                  <c:v>Stationery</c:v>
                </c:pt>
              </c:strCache>
            </c:strRef>
          </c:cat>
          <c:val>
            <c:numRef>
              <c:f>Calc!$B$30:$B$33</c:f>
              <c:numCache>
                <c:formatCode>#,##0;\(#,##0\);\-</c:formatCode>
                <c:ptCount val="4"/>
                <c:pt idx="0">
                  <c:v>62944.548999999999</c:v>
                </c:pt>
                <c:pt idx="1">
                  <c:v>34373.635999999999</c:v>
                </c:pt>
                <c:pt idx="2">
                  <c:v>28609.93299999999</c:v>
                </c:pt>
                <c:pt idx="3">
                  <c:v>4563.4830000000002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5-4C07-9009-C0C0733C8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83955"/>
        <c:axId val="29420600"/>
      </c:barChart>
      <c:catAx>
        <c:axId val="82839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420600"/>
        <c:crosses val="autoZero"/>
        <c:auto val="1"/>
        <c:lblAlgn val="ctr"/>
        <c:lblOffset val="100"/>
        <c:noMultiLvlLbl val="0"/>
      </c:catAx>
      <c:valAx>
        <c:axId val="2942060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839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Orders by status (all rows)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Calc!$B$45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7F7F7F"/>
            </a:solidFill>
            <a:ln w="0">
              <a:solidFill>
                <a:srgbClr val="7F7F7F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F3864"/>
              </a:solidFill>
              <a:ln w="0">
                <a:solidFill>
                  <a:srgbClr val="1F3864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EC3-4AC1-B17E-FB6A8267656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EC3-4AC1-B17E-FB6A826765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Calc!$A$46:$A$48</c:f>
              <c:strCache>
                <c:ptCount val="3"/>
                <c:pt idx="0">
                  <c:v>Completed</c:v>
                </c:pt>
                <c:pt idx="1">
                  <c:v>Cancelled</c:v>
                </c:pt>
                <c:pt idx="2">
                  <c:v>Returned</c:v>
                </c:pt>
              </c:strCache>
            </c:strRef>
          </c:cat>
          <c:val>
            <c:numRef>
              <c:f>Calc!$B$46:$B$48</c:f>
              <c:numCache>
                <c:formatCode>#,##0;\(#,##0\);\-</c:formatCode>
                <c:ptCount val="3"/>
                <c:pt idx="0">
                  <c:v>193</c:v>
                </c:pt>
                <c:pt idx="1">
                  <c:v>71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C3-4AC1-B17E-FB6A82676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242954"/>
        <c:axId val="15181919"/>
      </c:barChart>
      <c:catAx>
        <c:axId val="952429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181919"/>
        <c:crosses val="autoZero"/>
        <c:auto val="1"/>
        <c:lblAlgn val="ctr"/>
        <c:lblOffset val="100"/>
        <c:noMultiLvlLbl val="0"/>
      </c:catAx>
      <c:valAx>
        <c:axId val="1518191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2429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image" Target="../media/image8.png"/><Relationship Id="rId3" Type="http://schemas.openxmlformats.org/officeDocument/2006/relationships/image" Target="../media/image2.png"/><Relationship Id="rId7" Type="http://schemas.openxmlformats.org/officeDocument/2006/relationships/chart" Target="../charts/chart1.xml"/><Relationship Id="rId12" Type="http://schemas.openxmlformats.org/officeDocument/2006/relationships/image" Target="../media/image7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6.emf"/><Relationship Id="rId5" Type="http://schemas.openxmlformats.org/officeDocument/2006/relationships/image" Target="../media/image4.png"/><Relationship Id="rId10" Type="http://schemas.openxmlformats.org/officeDocument/2006/relationships/chart" Target="../charts/chart4.xml"/><Relationship Id="rId4" Type="http://schemas.openxmlformats.org/officeDocument/2006/relationships/image" Target="../media/image3.png"/><Relationship Id="rId9" Type="http://schemas.openxmlformats.org/officeDocument/2006/relationships/chart" Target="../charts/chart3.xml"/><Relationship Id="rId14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455023</xdr:colOff>
      <xdr:row>3</xdr:row>
      <xdr:rowOff>17428</xdr:rowOff>
    </xdr:from>
    <xdr:to>
      <xdr:col>11</xdr:col>
      <xdr:colOff>157843</xdr:colOff>
      <xdr:row>19</xdr:row>
      <xdr:rowOff>25048</xdr:rowOff>
    </xdr:to>
    <xdr:sp macro="" textlink="">
      <xdr:nvSpPr>
        <xdr:cNvPr id="2" name="Rounded Rectangle 1"/>
        <xdr:cNvSpPr/>
      </xdr:nvSpPr>
      <xdr:spPr>
        <a:xfrm rot="11551698">
          <a:off x="455023" y="572599"/>
          <a:ext cx="6408420" cy="2968535"/>
        </a:xfrm>
        <a:prstGeom prst="round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507994</xdr:colOff>
      <xdr:row>15</xdr:row>
      <xdr:rowOff>177839</xdr:rowOff>
    </xdr:from>
    <xdr:to>
      <xdr:col>23</xdr:col>
      <xdr:colOff>73654</xdr:colOff>
      <xdr:row>38</xdr:row>
      <xdr:rowOff>34771</xdr:rowOff>
    </xdr:to>
    <xdr:sp macro="" textlink="">
      <xdr:nvSpPr>
        <xdr:cNvPr id="3" name="Rounded Rectangle 2"/>
        <xdr:cNvSpPr/>
      </xdr:nvSpPr>
      <xdr:spPr>
        <a:xfrm rot="528904">
          <a:off x="7213594" y="2953696"/>
          <a:ext cx="6880860" cy="4113246"/>
        </a:xfrm>
        <a:prstGeom prst="round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250700</xdr:colOff>
      <xdr:row>1</xdr:row>
      <xdr:rowOff>154501</xdr:rowOff>
    </xdr:from>
    <xdr:to>
      <xdr:col>22</xdr:col>
      <xdr:colOff>283029</xdr:colOff>
      <xdr:row>44</xdr:row>
      <xdr:rowOff>70384</xdr:rowOff>
    </xdr:to>
    <xdr:sp macro="" textlink="">
      <xdr:nvSpPr>
        <xdr:cNvPr id="4" name="Rounded Rectangle 3"/>
        <xdr:cNvSpPr/>
      </xdr:nvSpPr>
      <xdr:spPr>
        <a:xfrm>
          <a:off x="250700" y="339558"/>
          <a:ext cx="13443529" cy="787334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115019</xdr:colOff>
      <xdr:row>4</xdr:row>
      <xdr:rowOff>170084</xdr:rowOff>
    </xdr:from>
    <xdr:to>
      <xdr:col>4</xdr:col>
      <xdr:colOff>394229</xdr:colOff>
      <xdr:row>8</xdr:row>
      <xdr:rowOff>28899</xdr:rowOff>
    </xdr:to>
    <xdr:sp macro="" textlink="">
      <xdr:nvSpPr>
        <xdr:cNvPr id="5" name="Rounded Rectangle 4"/>
        <xdr:cNvSpPr/>
      </xdr:nvSpPr>
      <xdr:spPr>
        <a:xfrm>
          <a:off x="718868" y="917707"/>
          <a:ext cx="2090757" cy="6064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NET SALES</a:t>
          </a:r>
        </a:p>
      </xdr:txBody>
    </xdr:sp>
    <xdr:clientData/>
  </xdr:twoCellAnchor>
  <xdr:twoCellAnchor>
    <xdr:from>
      <xdr:col>17</xdr:col>
      <xdr:colOff>391783</xdr:colOff>
      <xdr:row>4</xdr:row>
      <xdr:rowOff>100868</xdr:rowOff>
    </xdr:from>
    <xdr:to>
      <xdr:col>21</xdr:col>
      <xdr:colOff>191219</xdr:colOff>
      <xdr:row>7</xdr:row>
      <xdr:rowOff>146588</xdr:rowOff>
    </xdr:to>
    <xdr:sp macro="" textlink="">
      <xdr:nvSpPr>
        <xdr:cNvPr id="7" name="Rounded Rectangle 6"/>
        <xdr:cNvSpPr/>
      </xdr:nvSpPr>
      <xdr:spPr>
        <a:xfrm>
          <a:off x="10754983" y="841097"/>
          <a:ext cx="2237836" cy="60089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VALUE LOST (CANCEL + RETURN)</a:t>
          </a:r>
        </a:p>
      </xdr:txBody>
    </xdr:sp>
    <xdr:clientData/>
  </xdr:twoCellAnchor>
  <xdr:twoCellAnchor>
    <xdr:from>
      <xdr:col>13</xdr:col>
      <xdr:colOff>273170</xdr:colOff>
      <xdr:row>4</xdr:row>
      <xdr:rowOff>170947</xdr:rowOff>
    </xdr:from>
    <xdr:to>
      <xdr:col>16</xdr:col>
      <xdr:colOff>589470</xdr:colOff>
      <xdr:row>8</xdr:row>
      <xdr:rowOff>29762</xdr:rowOff>
    </xdr:to>
    <xdr:sp macro="" textlink="">
      <xdr:nvSpPr>
        <xdr:cNvPr id="8" name="Rounded Rectangle 7"/>
        <xdr:cNvSpPr/>
      </xdr:nvSpPr>
      <xdr:spPr>
        <a:xfrm>
          <a:off x="8123208" y="918570"/>
          <a:ext cx="2127847" cy="6064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COMPLETED ORDERS</a:t>
          </a:r>
        </a:p>
      </xdr:txBody>
    </xdr:sp>
    <xdr:clientData/>
  </xdr:twoCellAnchor>
  <xdr:twoCellAnchor>
    <xdr:from>
      <xdr:col>9</xdr:col>
      <xdr:colOff>244416</xdr:colOff>
      <xdr:row>4</xdr:row>
      <xdr:rowOff>163327</xdr:rowOff>
    </xdr:from>
    <xdr:to>
      <xdr:col>12</xdr:col>
      <xdr:colOff>569633</xdr:colOff>
      <xdr:row>8</xdr:row>
      <xdr:rowOff>22142</xdr:rowOff>
    </xdr:to>
    <xdr:sp macro="" textlink="">
      <xdr:nvSpPr>
        <xdr:cNvPr id="9" name="Rounded Rectangle 8"/>
        <xdr:cNvSpPr/>
      </xdr:nvSpPr>
      <xdr:spPr>
        <a:xfrm>
          <a:off x="5679058" y="910950"/>
          <a:ext cx="2136764" cy="6064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AVG ORDER VALUE</a:t>
          </a:r>
        </a:p>
      </xdr:txBody>
    </xdr:sp>
    <xdr:clientData/>
  </xdr:twoCellAnchor>
  <xdr:twoCellAnchor>
    <xdr:from>
      <xdr:col>5</xdr:col>
      <xdr:colOff>26195</xdr:colOff>
      <xdr:row>5</xdr:row>
      <xdr:rowOff>10690</xdr:rowOff>
    </xdr:from>
    <xdr:to>
      <xdr:col>8</xdr:col>
      <xdr:colOff>503810</xdr:colOff>
      <xdr:row>8</xdr:row>
      <xdr:rowOff>57395</xdr:rowOff>
    </xdr:to>
    <xdr:sp macro="" textlink="">
      <xdr:nvSpPr>
        <xdr:cNvPr id="11" name="Rounded Rectangle 10"/>
        <xdr:cNvSpPr/>
      </xdr:nvSpPr>
      <xdr:spPr>
        <a:xfrm>
          <a:off x="3053318" y="950142"/>
          <a:ext cx="2293889" cy="61037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CANCELLATION RATE</a:t>
          </a:r>
        </a:p>
      </xdr:txBody>
    </xdr:sp>
    <xdr:clientData/>
  </xdr:twoCellAnchor>
  <xdr:twoCellAnchor>
    <xdr:from>
      <xdr:col>3</xdr:col>
      <xdr:colOff>397284</xdr:colOff>
      <xdr:row>5</xdr:row>
      <xdr:rowOff>102818</xdr:rowOff>
    </xdr:from>
    <xdr:to>
      <xdr:col>4</xdr:col>
      <xdr:colOff>260958</xdr:colOff>
      <xdr:row>7</xdr:row>
      <xdr:rowOff>146137</xdr:rowOff>
    </xdr:to>
    <xdr:sp macro="" textlink="">
      <xdr:nvSpPr>
        <xdr:cNvPr id="13" name="Rounded Rectangle 12"/>
        <xdr:cNvSpPr/>
      </xdr:nvSpPr>
      <xdr:spPr>
        <a:xfrm>
          <a:off x="2213558" y="1042270"/>
          <a:ext cx="469099" cy="41910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178079</xdr:colOff>
      <xdr:row>5</xdr:row>
      <xdr:rowOff>40187</xdr:rowOff>
    </xdr:from>
    <xdr:to>
      <xdr:col>21</xdr:col>
      <xdr:colOff>41753</xdr:colOff>
      <xdr:row>7</xdr:row>
      <xdr:rowOff>83506</xdr:rowOff>
    </xdr:to>
    <xdr:sp macro="" textlink="">
      <xdr:nvSpPr>
        <xdr:cNvPr id="14" name="Rounded Rectangle 13"/>
        <xdr:cNvSpPr/>
      </xdr:nvSpPr>
      <xdr:spPr>
        <a:xfrm>
          <a:off x="12286572" y="979639"/>
          <a:ext cx="469099" cy="41910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539245</xdr:colOff>
      <xdr:row>5</xdr:row>
      <xdr:rowOff>98642</xdr:rowOff>
    </xdr:from>
    <xdr:to>
      <xdr:col>8</xdr:col>
      <xdr:colOff>402920</xdr:colOff>
      <xdr:row>7</xdr:row>
      <xdr:rowOff>141961</xdr:rowOff>
    </xdr:to>
    <xdr:sp macro="" textlink="">
      <xdr:nvSpPr>
        <xdr:cNvPr id="15" name="Rounded Rectangle 14"/>
        <xdr:cNvSpPr/>
      </xdr:nvSpPr>
      <xdr:spPr>
        <a:xfrm>
          <a:off x="4777218" y="1038094"/>
          <a:ext cx="469099" cy="41910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11064</xdr:colOff>
      <xdr:row>5</xdr:row>
      <xdr:rowOff>61064</xdr:rowOff>
    </xdr:from>
    <xdr:to>
      <xdr:col>16</xdr:col>
      <xdr:colOff>480163</xdr:colOff>
      <xdr:row>7</xdr:row>
      <xdr:rowOff>104383</xdr:rowOff>
    </xdr:to>
    <xdr:sp macro="" textlink="">
      <xdr:nvSpPr>
        <xdr:cNvPr id="17" name="Rounded Rectangle 16"/>
        <xdr:cNvSpPr/>
      </xdr:nvSpPr>
      <xdr:spPr>
        <a:xfrm>
          <a:off x="9697859" y="1000516"/>
          <a:ext cx="469099" cy="41910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570561</xdr:colOff>
      <xdr:row>5</xdr:row>
      <xdr:rowOff>67327</xdr:rowOff>
    </xdr:from>
    <xdr:to>
      <xdr:col>12</xdr:col>
      <xdr:colOff>434235</xdr:colOff>
      <xdr:row>7</xdr:row>
      <xdr:rowOff>110646</xdr:rowOff>
    </xdr:to>
    <xdr:sp macro="" textlink="">
      <xdr:nvSpPr>
        <xdr:cNvPr id="18" name="Rounded Rectangle 17"/>
        <xdr:cNvSpPr/>
      </xdr:nvSpPr>
      <xdr:spPr>
        <a:xfrm>
          <a:off x="7230232" y="1006779"/>
          <a:ext cx="469099" cy="41910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440601</xdr:colOff>
      <xdr:row>5</xdr:row>
      <xdr:rowOff>156576</xdr:rowOff>
    </xdr:from>
    <xdr:to>
      <xdr:col>4</xdr:col>
      <xdr:colOff>208768</xdr:colOff>
      <xdr:row>7</xdr:row>
      <xdr:rowOff>154387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1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256875" y="1096028"/>
          <a:ext cx="373592" cy="373592"/>
        </a:xfrm>
        <a:prstGeom prst="rect">
          <a:avLst/>
        </a:prstGeom>
        <a:noFill/>
      </xdr:spPr>
    </xdr:pic>
    <xdr:clientData/>
  </xdr:twoCellAnchor>
  <xdr:oneCellAnchor>
    <xdr:from>
      <xdr:col>1</xdr:col>
      <xdr:colOff>114822</xdr:colOff>
      <xdr:row>5</xdr:row>
      <xdr:rowOff>31315</xdr:rowOff>
    </xdr:from>
    <xdr:ext cx="1085590" cy="313151"/>
    <xdr:sp macro="" textlink="">
      <xdr:nvSpPr>
        <xdr:cNvPr id="20" name="TextBox 19"/>
        <xdr:cNvSpPr txBox="1"/>
      </xdr:nvSpPr>
      <xdr:spPr>
        <a:xfrm>
          <a:off x="720247" y="970767"/>
          <a:ext cx="1085590" cy="313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>
              <a:solidFill>
                <a:schemeClr val="tx2">
                  <a:lumMod val="75000"/>
                </a:schemeClr>
              </a:solidFill>
            </a:rPr>
            <a:t>NET SALES</a:t>
          </a:r>
        </a:p>
      </xdr:txBody>
    </xdr:sp>
    <xdr:clientData/>
  </xdr:oneCellAnchor>
  <xdr:oneCellAnchor>
    <xdr:from>
      <xdr:col>1</xdr:col>
      <xdr:colOff>334028</xdr:colOff>
      <xdr:row>6</xdr:row>
      <xdr:rowOff>31316</xdr:rowOff>
    </xdr:from>
    <xdr:ext cx="1519608" cy="260958"/>
    <xdr:sp macro="" textlink="">
      <xdr:nvSpPr>
        <xdr:cNvPr id="21" name="TextBox 20"/>
        <xdr:cNvSpPr txBox="1"/>
      </xdr:nvSpPr>
      <xdr:spPr>
        <a:xfrm>
          <a:off x="939453" y="1158658"/>
          <a:ext cx="1519608" cy="2609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130,491.60</a:t>
          </a:r>
          <a:endParaRPr lang="en-US" sz="1600" b="1">
            <a:effectLst/>
          </a:endParaRPr>
        </a:p>
        <a:p>
          <a:endParaRPr lang="en-US" sz="1100"/>
        </a:p>
      </xdr:txBody>
    </xdr:sp>
    <xdr:clientData/>
  </xdr:oneCellAnchor>
  <xdr:oneCellAnchor>
    <xdr:from>
      <xdr:col>5</xdr:col>
      <xdr:colOff>62631</xdr:colOff>
      <xdr:row>5</xdr:row>
      <xdr:rowOff>20877</xdr:rowOff>
    </xdr:from>
    <xdr:ext cx="2032918" cy="473327"/>
    <xdr:sp macro="" textlink="">
      <xdr:nvSpPr>
        <xdr:cNvPr id="22" name="TextBox 21"/>
        <xdr:cNvSpPr txBox="1"/>
      </xdr:nvSpPr>
      <xdr:spPr>
        <a:xfrm>
          <a:off x="3089754" y="960329"/>
          <a:ext cx="2032918" cy="4733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>
              <a:solidFill>
                <a:schemeClr val="tx2">
                  <a:lumMod val="75000"/>
                </a:schemeClr>
              </a:solidFill>
            </a:rPr>
            <a:t>CANCELLATION</a:t>
          </a:r>
          <a:r>
            <a:rPr lang="en-US" sz="1100" b="1">
              <a:solidFill>
                <a:schemeClr val="tx2">
                  <a:lumMod val="75000"/>
                </a:schemeClr>
              </a:solidFill>
            </a:rPr>
            <a:t> </a:t>
          </a:r>
          <a:r>
            <a:rPr lang="en-US" sz="1400" b="1">
              <a:solidFill>
                <a:schemeClr val="tx2">
                  <a:lumMod val="75000"/>
                </a:schemeClr>
              </a:solidFill>
            </a:rPr>
            <a:t>RATE</a:t>
          </a:r>
        </a:p>
      </xdr:txBody>
    </xdr:sp>
    <xdr:clientData/>
  </xdr:oneCellAnchor>
  <xdr:twoCellAnchor editAs="oneCell">
    <xdr:from>
      <xdr:col>7</xdr:col>
      <xdr:colOff>560854</xdr:colOff>
      <xdr:row>5</xdr:row>
      <xdr:rowOff>114822</xdr:rowOff>
    </xdr:from>
    <xdr:to>
      <xdr:col>8</xdr:col>
      <xdr:colOff>365343</xdr:colOff>
      <xdr:row>7</xdr:row>
      <xdr:rowOff>148954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3">
          <a:lum bright="70000" contrast="-70000"/>
        </a:blip>
        <a:stretch>
          <a:fillRect/>
        </a:stretch>
      </xdr:blipFill>
      <xdr:spPr>
        <a:xfrm>
          <a:off x="4798827" y="1054274"/>
          <a:ext cx="409913" cy="409913"/>
        </a:xfrm>
        <a:prstGeom prst="rect">
          <a:avLst/>
        </a:prstGeom>
      </xdr:spPr>
    </xdr:pic>
    <xdr:clientData/>
  </xdr:twoCellAnchor>
  <xdr:oneCellAnchor>
    <xdr:from>
      <xdr:col>5</xdr:col>
      <xdr:colOff>594987</xdr:colOff>
      <xdr:row>6</xdr:row>
      <xdr:rowOff>93946</xdr:rowOff>
    </xdr:from>
    <xdr:ext cx="521918" cy="730686"/>
    <xdr:sp macro="" textlink="">
      <xdr:nvSpPr>
        <xdr:cNvPr id="24" name="TextBox 23"/>
        <xdr:cNvSpPr txBox="1"/>
      </xdr:nvSpPr>
      <xdr:spPr>
        <a:xfrm>
          <a:off x="3622110" y="1221288"/>
          <a:ext cx="521918" cy="7306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600" b="1"/>
            <a:t>21.2%</a:t>
          </a:r>
        </a:p>
      </xdr:txBody>
    </xdr:sp>
    <xdr:clientData/>
  </xdr:oneCellAnchor>
  <xdr:oneCellAnchor>
    <xdr:from>
      <xdr:col>9</xdr:col>
      <xdr:colOff>208767</xdr:colOff>
      <xdr:row>5</xdr:row>
      <xdr:rowOff>0</xdr:rowOff>
    </xdr:from>
    <xdr:ext cx="2512949" cy="311496"/>
    <xdr:sp macro="" textlink="">
      <xdr:nvSpPr>
        <xdr:cNvPr id="25" name="TextBox 24"/>
        <xdr:cNvSpPr txBox="1"/>
      </xdr:nvSpPr>
      <xdr:spPr>
        <a:xfrm>
          <a:off x="5657589" y="939452"/>
          <a:ext cx="25129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solidFill>
                <a:schemeClr val="tx2">
                  <a:lumMod val="75000"/>
                </a:schemeClr>
              </a:solidFill>
            </a:rPr>
            <a:t>AVG ORDER VALUE</a:t>
          </a:r>
        </a:p>
      </xdr:txBody>
    </xdr:sp>
    <xdr:clientData/>
  </xdr:oneCellAnchor>
  <xdr:twoCellAnchor editAs="oneCell">
    <xdr:from>
      <xdr:col>11</xdr:col>
      <xdr:colOff>574736</xdr:colOff>
      <xdr:row>5</xdr:row>
      <xdr:rowOff>13882</xdr:rowOff>
    </xdr:from>
    <xdr:to>
      <xdr:col>12</xdr:col>
      <xdr:colOff>446032</xdr:colOff>
      <xdr:row>7</xdr:row>
      <xdr:rowOff>114822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4">
          <a:lum bright="70000" contrast="-70000"/>
        </a:blip>
        <a:stretch>
          <a:fillRect/>
        </a:stretch>
      </xdr:blipFill>
      <xdr:spPr>
        <a:xfrm>
          <a:off x="7234407" y="953334"/>
          <a:ext cx="476721" cy="476721"/>
        </a:xfrm>
        <a:prstGeom prst="rect">
          <a:avLst/>
        </a:prstGeom>
      </xdr:spPr>
    </xdr:pic>
    <xdr:clientData/>
  </xdr:twoCellAnchor>
  <xdr:oneCellAnchor>
    <xdr:from>
      <xdr:col>10</xdr:col>
      <xdr:colOff>250519</xdr:colOff>
      <xdr:row>6</xdr:row>
      <xdr:rowOff>83506</xdr:rowOff>
    </xdr:from>
    <xdr:ext cx="648000" cy="342786"/>
    <xdr:sp macro="" textlink="">
      <xdr:nvSpPr>
        <xdr:cNvPr id="28" name="TextBox 27"/>
        <xdr:cNvSpPr txBox="1"/>
      </xdr:nvSpPr>
      <xdr:spPr>
        <a:xfrm>
          <a:off x="6304766" y="1210848"/>
          <a:ext cx="64800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/>
            <a:t>676</a:t>
          </a:r>
        </a:p>
      </xdr:txBody>
    </xdr:sp>
    <xdr:clientData/>
  </xdr:oneCellAnchor>
  <xdr:oneCellAnchor>
    <xdr:from>
      <xdr:col>13</xdr:col>
      <xdr:colOff>219205</xdr:colOff>
      <xdr:row>4</xdr:row>
      <xdr:rowOff>114821</xdr:rowOff>
    </xdr:from>
    <xdr:ext cx="2025040" cy="365343"/>
    <xdr:sp macro="" textlink="">
      <xdr:nvSpPr>
        <xdr:cNvPr id="30" name="TextBox 29"/>
        <xdr:cNvSpPr txBox="1"/>
      </xdr:nvSpPr>
      <xdr:spPr>
        <a:xfrm>
          <a:off x="8089726" y="866383"/>
          <a:ext cx="2025040" cy="365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>
              <a:solidFill>
                <a:schemeClr val="tx2">
                  <a:lumMod val="75000"/>
                </a:schemeClr>
              </a:solidFill>
            </a:rPr>
            <a:t>COMPLETED ORDERS</a:t>
          </a:r>
        </a:p>
      </xdr:txBody>
    </xdr:sp>
    <xdr:clientData/>
  </xdr:oneCellAnchor>
  <xdr:twoCellAnchor editAs="oneCell">
    <xdr:from>
      <xdr:col>16</xdr:col>
      <xdr:colOff>84133</xdr:colOff>
      <xdr:row>5</xdr:row>
      <xdr:rowOff>118267</xdr:rowOff>
    </xdr:from>
    <xdr:to>
      <xdr:col>16</xdr:col>
      <xdr:colOff>435593</xdr:colOff>
      <xdr:row>7</xdr:row>
      <xdr:rowOff>93946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5">
          <a:lum bright="70000" contrast="-70000"/>
        </a:blip>
        <a:stretch>
          <a:fillRect/>
        </a:stretch>
      </xdr:blipFill>
      <xdr:spPr>
        <a:xfrm>
          <a:off x="9770928" y="1057719"/>
          <a:ext cx="351460" cy="351460"/>
        </a:xfrm>
        <a:prstGeom prst="rect">
          <a:avLst/>
        </a:prstGeom>
      </xdr:spPr>
    </xdr:pic>
    <xdr:clientData/>
  </xdr:twoCellAnchor>
  <xdr:oneCellAnchor>
    <xdr:from>
      <xdr:col>14</xdr:col>
      <xdr:colOff>281835</xdr:colOff>
      <xdr:row>6</xdr:row>
      <xdr:rowOff>31315</xdr:rowOff>
    </xdr:from>
    <xdr:ext cx="762000" cy="342786"/>
    <xdr:sp macro="" textlink="">
      <xdr:nvSpPr>
        <xdr:cNvPr id="32" name="TextBox 31"/>
        <xdr:cNvSpPr txBox="1"/>
      </xdr:nvSpPr>
      <xdr:spPr>
        <a:xfrm>
          <a:off x="8757780" y="1158657"/>
          <a:ext cx="76200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/>
            <a:t>193</a:t>
          </a:r>
        </a:p>
      </xdr:txBody>
    </xdr:sp>
    <xdr:clientData/>
  </xdr:oneCellAnchor>
  <xdr:oneCellAnchor>
    <xdr:from>
      <xdr:col>17</xdr:col>
      <xdr:colOff>386220</xdr:colOff>
      <xdr:row>4</xdr:row>
      <xdr:rowOff>146137</xdr:rowOff>
    </xdr:from>
    <xdr:ext cx="1430054" cy="344465"/>
    <xdr:sp macro="" textlink="">
      <xdr:nvSpPr>
        <xdr:cNvPr id="33" name="TextBox 32"/>
        <xdr:cNvSpPr txBox="1"/>
      </xdr:nvSpPr>
      <xdr:spPr>
        <a:xfrm>
          <a:off x="10678439" y="897699"/>
          <a:ext cx="1430054" cy="344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>
              <a:solidFill>
                <a:schemeClr val="tx2">
                  <a:lumMod val="75000"/>
                </a:schemeClr>
              </a:solidFill>
            </a:rPr>
            <a:t>VALUE LOST </a:t>
          </a:r>
        </a:p>
      </xdr:txBody>
    </xdr:sp>
    <xdr:clientData/>
  </xdr:oneCellAnchor>
  <xdr:oneCellAnchor>
    <xdr:from>
      <xdr:col>18</xdr:col>
      <xdr:colOff>198329</xdr:colOff>
      <xdr:row>6</xdr:row>
      <xdr:rowOff>31316</xdr:rowOff>
    </xdr:from>
    <xdr:ext cx="684418" cy="302712"/>
    <xdr:sp macro="" textlink="">
      <xdr:nvSpPr>
        <xdr:cNvPr id="34" name="TextBox 33"/>
        <xdr:cNvSpPr txBox="1"/>
      </xdr:nvSpPr>
      <xdr:spPr>
        <a:xfrm>
          <a:off x="11095973" y="1158658"/>
          <a:ext cx="684418" cy="3027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85,469</a:t>
          </a:r>
        </a:p>
      </xdr:txBody>
    </xdr:sp>
    <xdr:clientData/>
  </xdr:oneCellAnchor>
  <xdr:twoCellAnchor editAs="oneCell">
    <xdr:from>
      <xdr:col>20</xdr:col>
      <xdr:colOff>240710</xdr:colOff>
      <xdr:row>5</xdr:row>
      <xdr:rowOff>86952</xdr:rowOff>
    </xdr:from>
    <xdr:to>
      <xdr:col>20</xdr:col>
      <xdr:colOff>563671</xdr:colOff>
      <xdr:row>7</xdr:row>
      <xdr:rowOff>34132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6">
          <a:lum bright="70000" contrast="-70000"/>
        </a:blip>
        <a:stretch>
          <a:fillRect/>
        </a:stretch>
      </xdr:blipFill>
      <xdr:spPr>
        <a:xfrm>
          <a:off x="12349203" y="1026404"/>
          <a:ext cx="322961" cy="322961"/>
        </a:xfrm>
        <a:prstGeom prst="rect">
          <a:avLst/>
        </a:prstGeom>
      </xdr:spPr>
    </xdr:pic>
    <xdr:clientData/>
  </xdr:twoCellAnchor>
  <xdr:twoCellAnchor editAs="oneCell">
    <xdr:from>
      <xdr:col>0</xdr:col>
      <xdr:colOff>513001</xdr:colOff>
      <xdr:row>9</xdr:row>
      <xdr:rowOff>149579</xdr:rowOff>
    </xdr:from>
    <xdr:to>
      <xdr:col>8</xdr:col>
      <xdr:colOff>500743</xdr:colOff>
      <xdr:row>23</xdr:row>
      <xdr:rowOff>185056</xdr:rowOff>
    </xdr:to>
    <xdr:graphicFrame macro="">
      <xdr:nvGraphicFramePr>
        <xdr:cNvPr id="36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16</xdr:col>
      <xdr:colOff>195943</xdr:colOff>
      <xdr:row>28</xdr:row>
      <xdr:rowOff>43543</xdr:rowOff>
    </xdr:from>
    <xdr:to>
      <xdr:col>21</xdr:col>
      <xdr:colOff>457200</xdr:colOff>
      <xdr:row>41</xdr:row>
      <xdr:rowOff>76200</xdr:rowOff>
    </xdr:to>
    <xdr:graphicFrame macro="">
      <xdr:nvGraphicFramePr>
        <xdr:cNvPr id="37" name="Chart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501073</xdr:colOff>
      <xdr:row>24</xdr:row>
      <xdr:rowOff>165387</xdr:rowOff>
    </xdr:from>
    <xdr:to>
      <xdr:col>8</xdr:col>
      <xdr:colOff>478971</xdr:colOff>
      <xdr:row>41</xdr:row>
      <xdr:rowOff>108856</xdr:rowOff>
    </xdr:to>
    <xdr:graphicFrame macro="">
      <xdr:nvGraphicFramePr>
        <xdr:cNvPr id="38" name="Chart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9</xdr:col>
      <xdr:colOff>130629</xdr:colOff>
      <xdr:row>28</xdr:row>
      <xdr:rowOff>65314</xdr:rowOff>
    </xdr:from>
    <xdr:to>
      <xdr:col>16</xdr:col>
      <xdr:colOff>10886</xdr:colOff>
      <xdr:row>41</xdr:row>
      <xdr:rowOff>119742</xdr:rowOff>
    </xdr:to>
    <xdr:graphicFrame macro="">
      <xdr:nvGraphicFramePr>
        <xdr:cNvPr id="39" name="Chart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9</xdr:col>
      <xdr:colOff>381001</xdr:colOff>
      <xdr:row>25</xdr:row>
      <xdr:rowOff>0</xdr:rowOff>
    </xdr:from>
    <xdr:to>
      <xdr:col>21</xdr:col>
      <xdr:colOff>598715</xdr:colOff>
      <xdr:row>27</xdr:row>
      <xdr:rowOff>45720</xdr:rowOff>
    </xdr:to>
    <xdr:pic>
      <xdr:nvPicPr>
        <xdr:cNvPr id="41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1" y="4626429"/>
          <a:ext cx="7532914" cy="4158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500743</xdr:colOff>
      <xdr:row>9</xdr:row>
      <xdr:rowOff>87086</xdr:rowOff>
    </xdr:from>
    <xdr:to>
      <xdr:col>13</xdr:col>
      <xdr:colOff>359229</xdr:colOff>
      <xdr:row>23</xdr:row>
      <xdr:rowOff>174171</xdr:rowOff>
    </xdr:to>
    <xdr:sp macro="" textlink="">
      <xdr:nvSpPr>
        <xdr:cNvPr id="42" name="Rounded Rectangle 41"/>
        <xdr:cNvSpPr/>
      </xdr:nvSpPr>
      <xdr:spPr>
        <a:xfrm>
          <a:off x="5987143" y="1752600"/>
          <a:ext cx="2296886" cy="2677885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120072</xdr:colOff>
      <xdr:row>9</xdr:row>
      <xdr:rowOff>2100</xdr:rowOff>
    </xdr:from>
    <xdr:to>
      <xdr:col>21</xdr:col>
      <xdr:colOff>588158</xdr:colOff>
      <xdr:row>23</xdr:row>
      <xdr:rowOff>89185</xdr:rowOff>
    </xdr:to>
    <xdr:sp macro="" textlink="">
      <xdr:nvSpPr>
        <xdr:cNvPr id="43" name="Rounded Rectangle 42"/>
        <xdr:cNvSpPr/>
      </xdr:nvSpPr>
      <xdr:spPr>
        <a:xfrm>
          <a:off x="11092872" y="1667614"/>
          <a:ext cx="2296886" cy="2677885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328</xdr:colOff>
      <xdr:row>9</xdr:row>
      <xdr:rowOff>78302</xdr:rowOff>
    </xdr:from>
    <xdr:to>
      <xdr:col>17</xdr:col>
      <xdr:colOff>468414</xdr:colOff>
      <xdr:row>23</xdr:row>
      <xdr:rowOff>165387</xdr:rowOff>
    </xdr:to>
    <xdr:sp macro="" textlink="">
      <xdr:nvSpPr>
        <xdr:cNvPr id="44" name="Rounded Rectangle 43"/>
        <xdr:cNvSpPr/>
      </xdr:nvSpPr>
      <xdr:spPr>
        <a:xfrm>
          <a:off x="8534728" y="1743816"/>
          <a:ext cx="2296886" cy="2677885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511629</xdr:colOff>
      <xdr:row>17</xdr:row>
      <xdr:rowOff>0</xdr:rowOff>
    </xdr:from>
    <xdr:to>
      <xdr:col>13</xdr:col>
      <xdr:colOff>370115</xdr:colOff>
      <xdr:row>24</xdr:row>
      <xdr:rowOff>43542</xdr:rowOff>
    </xdr:to>
    <xdr:sp macro="" textlink="">
      <xdr:nvSpPr>
        <xdr:cNvPr id="46" name="Rounded Rectangle 45"/>
        <xdr:cNvSpPr/>
      </xdr:nvSpPr>
      <xdr:spPr>
        <a:xfrm>
          <a:off x="5998029" y="3145971"/>
          <a:ext cx="2296886" cy="133894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TOP PRODUCT</a:t>
          </a:r>
        </a:p>
      </xdr:txBody>
    </xdr:sp>
    <xdr:clientData/>
  </xdr:twoCellAnchor>
  <xdr:twoCellAnchor>
    <xdr:from>
      <xdr:col>13</xdr:col>
      <xdr:colOff>609599</xdr:colOff>
      <xdr:row>16</xdr:row>
      <xdr:rowOff>119743</xdr:rowOff>
    </xdr:from>
    <xdr:to>
      <xdr:col>17</xdr:col>
      <xdr:colOff>468085</xdr:colOff>
      <xdr:row>23</xdr:row>
      <xdr:rowOff>163285</xdr:rowOff>
    </xdr:to>
    <xdr:sp macro="" textlink="">
      <xdr:nvSpPr>
        <xdr:cNvPr id="51" name="Rounded Rectangle 50"/>
        <xdr:cNvSpPr/>
      </xdr:nvSpPr>
      <xdr:spPr>
        <a:xfrm>
          <a:off x="8534399" y="3080657"/>
          <a:ext cx="2296886" cy="133894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TOP </a:t>
          </a:r>
        </a:p>
      </xdr:txBody>
    </xdr:sp>
    <xdr:clientData/>
  </xdr:twoCellAnchor>
  <xdr:twoCellAnchor>
    <xdr:from>
      <xdr:col>18</xdr:col>
      <xdr:colOff>108857</xdr:colOff>
      <xdr:row>16</xdr:row>
      <xdr:rowOff>65315</xdr:rowOff>
    </xdr:from>
    <xdr:to>
      <xdr:col>21</xdr:col>
      <xdr:colOff>576943</xdr:colOff>
      <xdr:row>23</xdr:row>
      <xdr:rowOff>108857</xdr:rowOff>
    </xdr:to>
    <xdr:sp macro="" textlink="">
      <xdr:nvSpPr>
        <xdr:cNvPr id="53" name="Rounded Rectangle 52"/>
        <xdr:cNvSpPr/>
      </xdr:nvSpPr>
      <xdr:spPr>
        <a:xfrm>
          <a:off x="11081657" y="3026229"/>
          <a:ext cx="2296886" cy="133894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TO</a:t>
          </a:r>
        </a:p>
      </xdr:txBody>
    </xdr:sp>
    <xdr:clientData/>
  </xdr:twoCellAnchor>
  <xdr:twoCellAnchor editAs="oneCell">
    <xdr:from>
      <xdr:col>10</xdr:col>
      <xdr:colOff>185057</xdr:colOff>
      <xdr:row>9</xdr:row>
      <xdr:rowOff>54429</xdr:rowOff>
    </xdr:from>
    <xdr:to>
      <xdr:col>13</xdr:col>
      <xdr:colOff>141515</xdr:colOff>
      <xdr:row>20</xdr:row>
      <xdr:rowOff>174171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81057" y="1719943"/>
          <a:ext cx="1785258" cy="2155371"/>
        </a:xfrm>
        <a:prstGeom prst="rect">
          <a:avLst/>
        </a:prstGeom>
      </xdr:spPr>
    </xdr:pic>
    <xdr:clientData/>
  </xdr:twoCellAnchor>
  <xdr:oneCellAnchor>
    <xdr:from>
      <xdr:col>10</xdr:col>
      <xdr:colOff>348343</xdr:colOff>
      <xdr:row>20</xdr:row>
      <xdr:rowOff>141515</xdr:rowOff>
    </xdr:from>
    <xdr:ext cx="1578428" cy="718456"/>
    <xdr:sp macro="" textlink="">
      <xdr:nvSpPr>
        <xdr:cNvPr id="57" name="TextBox 56"/>
        <xdr:cNvSpPr txBox="1"/>
      </xdr:nvSpPr>
      <xdr:spPr>
        <a:xfrm>
          <a:off x="6444343" y="3842658"/>
          <a:ext cx="1578428" cy="718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600" b="1">
              <a:solidFill>
                <a:schemeClr val="tx2">
                  <a:lumMod val="75000"/>
                </a:schemeClr>
              </a:solidFill>
            </a:rPr>
            <a:t>TOP PRODUCT </a:t>
          </a:r>
        </a:p>
        <a:p>
          <a:r>
            <a:rPr lang="en-US" sz="1600" b="1">
              <a:solidFill>
                <a:schemeClr val="tx2">
                  <a:lumMod val="75000"/>
                </a:schemeClr>
              </a:solidFill>
            </a:rPr>
            <a:t>   HeadPhone</a:t>
          </a:r>
        </a:p>
      </xdr:txBody>
    </xdr:sp>
    <xdr:clientData/>
  </xdr:oneCellAnchor>
  <xdr:twoCellAnchor editAs="oneCell">
    <xdr:from>
      <xdr:col>14</xdr:col>
      <xdr:colOff>272142</xdr:colOff>
      <xdr:row>9</xdr:row>
      <xdr:rowOff>54429</xdr:rowOff>
    </xdr:from>
    <xdr:to>
      <xdr:col>17</xdr:col>
      <xdr:colOff>228600</xdr:colOff>
      <xdr:row>19</xdr:row>
      <xdr:rowOff>110614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806542" y="1719943"/>
          <a:ext cx="1785258" cy="1906757"/>
        </a:xfrm>
        <a:prstGeom prst="rect">
          <a:avLst/>
        </a:prstGeom>
      </xdr:spPr>
    </xdr:pic>
    <xdr:clientData/>
  </xdr:twoCellAnchor>
  <xdr:oneCellAnchor>
    <xdr:from>
      <xdr:col>15</xdr:col>
      <xdr:colOff>43544</xdr:colOff>
      <xdr:row>20</xdr:row>
      <xdr:rowOff>65314</xdr:rowOff>
    </xdr:from>
    <xdr:ext cx="1447799" cy="650401"/>
    <xdr:sp macro="" textlink="">
      <xdr:nvSpPr>
        <xdr:cNvPr id="60" name="TextBox 59"/>
        <xdr:cNvSpPr txBox="1"/>
      </xdr:nvSpPr>
      <xdr:spPr>
        <a:xfrm>
          <a:off x="9187544" y="3766457"/>
          <a:ext cx="1447799" cy="6504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>
              <a:solidFill>
                <a:schemeClr val="tx2">
                  <a:lumMod val="60000"/>
                  <a:lumOff val="40000"/>
                </a:schemeClr>
              </a:solidFill>
            </a:rPr>
            <a:t>TOP CHANNEL </a:t>
          </a:r>
        </a:p>
        <a:p>
          <a:r>
            <a:rPr lang="en-US" sz="1400" b="1">
              <a:solidFill>
                <a:schemeClr val="tx2">
                  <a:lumMod val="60000"/>
                  <a:lumOff val="40000"/>
                </a:schemeClr>
              </a:solidFill>
            </a:rPr>
            <a:t>    FACEBOOK</a:t>
          </a:r>
        </a:p>
      </xdr:txBody>
    </xdr:sp>
    <xdr:clientData/>
  </xdr:oneCellAnchor>
  <xdr:twoCellAnchor editAs="oneCell">
    <xdr:from>
      <xdr:col>18</xdr:col>
      <xdr:colOff>424543</xdr:colOff>
      <xdr:row>9</xdr:row>
      <xdr:rowOff>2101</xdr:rowOff>
    </xdr:from>
    <xdr:to>
      <xdr:col>21</xdr:col>
      <xdr:colOff>261257</xdr:colOff>
      <xdr:row>21</xdr:row>
      <xdr:rowOff>41190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360273" y="1670263"/>
          <a:ext cx="1659335" cy="2263305"/>
        </a:xfrm>
        <a:prstGeom prst="rect">
          <a:avLst/>
        </a:prstGeom>
      </xdr:spPr>
    </xdr:pic>
    <xdr:clientData/>
  </xdr:twoCellAnchor>
  <xdr:oneCellAnchor>
    <xdr:from>
      <xdr:col>18</xdr:col>
      <xdr:colOff>576943</xdr:colOff>
      <xdr:row>19</xdr:row>
      <xdr:rowOff>174171</xdr:rowOff>
    </xdr:from>
    <xdr:ext cx="1501986" cy="650401"/>
    <xdr:sp macro="" textlink="">
      <xdr:nvSpPr>
        <xdr:cNvPr id="62" name="TextBox 61"/>
        <xdr:cNvSpPr txBox="1"/>
      </xdr:nvSpPr>
      <xdr:spPr>
        <a:xfrm>
          <a:off x="11549743" y="3690257"/>
          <a:ext cx="1501986" cy="6504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>
              <a:solidFill>
                <a:srgbClr val="002060"/>
              </a:solidFill>
            </a:rPr>
            <a:t>TOP CITY SALES</a:t>
          </a:r>
        </a:p>
        <a:p>
          <a:r>
            <a:rPr lang="en-US" sz="1400" b="1">
              <a:solidFill>
                <a:srgbClr val="002060"/>
              </a:solidFill>
            </a:rPr>
            <a:t>        GIZA</a:t>
          </a:r>
        </a:p>
      </xdr:txBody>
    </xdr:sp>
    <xdr:clientData/>
  </xdr:oneCellAnchor>
  <xdr:oneCellAnchor>
    <xdr:from>
      <xdr:col>4</xdr:col>
      <xdr:colOff>381000</xdr:colOff>
      <xdr:row>1</xdr:row>
      <xdr:rowOff>82379</xdr:rowOff>
    </xdr:from>
    <xdr:ext cx="184731" cy="264560"/>
    <xdr:sp macro="" textlink="">
      <xdr:nvSpPr>
        <xdr:cNvPr id="63" name="TextBox 62"/>
        <xdr:cNvSpPr txBox="1"/>
      </xdr:nvSpPr>
      <xdr:spPr>
        <a:xfrm>
          <a:off x="2811162" y="267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319216</xdr:colOff>
      <xdr:row>0</xdr:row>
      <xdr:rowOff>0</xdr:rowOff>
    </xdr:from>
    <xdr:ext cx="4170405" cy="525162"/>
    <xdr:sp macro="" textlink="">
      <xdr:nvSpPr>
        <xdr:cNvPr id="12288" name="TextBox 12287"/>
        <xdr:cNvSpPr txBox="1"/>
      </xdr:nvSpPr>
      <xdr:spPr>
        <a:xfrm>
          <a:off x="2749378" y="0"/>
          <a:ext cx="4170405" cy="5251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400" b="1">
              <a:solidFill>
                <a:srgbClr val="002060"/>
              </a:solidFill>
            </a:rPr>
            <a:t>RETAIL</a:t>
          </a:r>
          <a:r>
            <a:rPr lang="en-US" sz="2400" b="1" baseline="0">
              <a:solidFill>
                <a:srgbClr val="002060"/>
              </a:solidFill>
            </a:rPr>
            <a:t> SALSE ANALYSIS</a:t>
          </a:r>
          <a:endParaRPr lang="en-US" sz="2400" b="1">
            <a:solidFill>
              <a:srgbClr val="00206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</xdr:row>
      <xdr:rowOff>0</xdr:rowOff>
    </xdr:from>
    <xdr:to>
      <xdr:col>24</xdr:col>
      <xdr:colOff>255960</xdr:colOff>
      <xdr:row>16</xdr:row>
      <xdr:rowOff>165960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27</xdr:col>
      <xdr:colOff>0</xdr:colOff>
      <xdr:row>2</xdr:row>
      <xdr:rowOff>0</xdr:rowOff>
    </xdr:from>
    <xdr:to>
      <xdr:col>36</xdr:col>
      <xdr:colOff>256320</xdr:colOff>
      <xdr:row>16</xdr:row>
      <xdr:rowOff>165960</xdr:rowOff>
    </xdr:to>
    <xdr:graphicFrame macro="">
      <xdr:nvGraphicFramePr>
        <xdr:cNvPr id="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19</xdr:row>
      <xdr:rowOff>0</xdr:rowOff>
    </xdr:from>
    <xdr:to>
      <xdr:col>24</xdr:col>
      <xdr:colOff>255960</xdr:colOff>
      <xdr:row>33</xdr:row>
      <xdr:rowOff>165960</xdr:rowOff>
    </xdr:to>
    <xdr:graphicFrame macro="">
      <xdr:nvGraphicFramePr>
        <xdr:cNvPr id="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0</xdr:colOff>
      <xdr:row>19</xdr:row>
      <xdr:rowOff>0</xdr:rowOff>
    </xdr:from>
    <xdr:to>
      <xdr:col>36</xdr:col>
      <xdr:colOff>256320</xdr:colOff>
      <xdr:row>33</xdr:row>
      <xdr:rowOff>165960</xdr:rowOff>
    </xdr:to>
    <xdr:graphicFrame macro="">
      <xdr:nvGraphicFramePr>
        <xdr:cNvPr id="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0</xdr:colOff>
      <xdr:row>36</xdr:row>
      <xdr:rowOff>0</xdr:rowOff>
    </xdr:from>
    <xdr:to>
      <xdr:col>24</xdr:col>
      <xdr:colOff>255960</xdr:colOff>
      <xdr:row>50</xdr:row>
      <xdr:rowOff>165960</xdr:rowOff>
    </xdr:to>
    <xdr:graphicFrame macro="">
      <xdr:nvGraphicFramePr>
        <xdr:cNvPr id="10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27</xdr:col>
      <xdr:colOff>0</xdr:colOff>
      <xdr:row>36</xdr:row>
      <xdr:rowOff>0</xdr:rowOff>
    </xdr:from>
    <xdr:to>
      <xdr:col>36</xdr:col>
      <xdr:colOff>256320</xdr:colOff>
      <xdr:row>50</xdr:row>
      <xdr:rowOff>165960</xdr:rowOff>
    </xdr:to>
    <xdr:graphicFrame macro="">
      <xdr:nvGraphicFramePr>
        <xdr:cNvPr id="11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Date="0" createdVersion="3" recordCount="335">
  <cacheSource type="worksheet">
    <worksheetSource ref="A1:N336" sheet="Cleaned_Data"/>
  </cacheSource>
  <cacheFields count="14">
    <cacheField name="Order_ID" numFmtId="0">
      <sharedItems count="335">
        <s v="ORD-0001"/>
        <s v="ORD-0002"/>
        <s v="ORD-0003"/>
        <s v="ORD-0004"/>
        <s v="ORD-0005"/>
        <s v="ORD-0006"/>
        <s v="ORD-0007"/>
        <s v="ORD-0008"/>
        <s v="ORD-0009"/>
        <s v="ORD-0010"/>
        <s v="ORD-0011"/>
        <s v="ORD-0012"/>
        <s v="ORD-0013"/>
        <s v="ORD-0014"/>
        <s v="ORD-0015"/>
        <s v="ORD-0016"/>
        <s v="ORD-0017"/>
        <s v="ORD-0018"/>
        <s v="ORD-0019"/>
        <s v="ORD-0020"/>
        <s v="ORD-0021"/>
        <s v="ORD-0022"/>
        <s v="ORD-0023"/>
        <s v="ORD-0024"/>
        <s v="ORD-0025"/>
        <s v="ORD-0027"/>
        <s v="ORD-0028"/>
        <s v="ORD-0029"/>
        <s v="ORD-0030"/>
        <s v="ORD-0031"/>
        <s v="ORD-0032"/>
        <s v="ORD-0033"/>
        <s v="ORD-0034"/>
        <s v="ORD-0035"/>
        <s v="ORD-0036"/>
        <s v="ORD-0037"/>
        <s v="ORD-0038"/>
        <s v="ORD-0039"/>
        <s v="ORD-0040"/>
        <s v="ORD-0041"/>
        <s v="ORD-0042"/>
        <s v="ORD-0043"/>
        <s v="ORD-0044"/>
        <s v="ORD-0045"/>
        <s v="ORD-0046"/>
        <s v="ORD-0047"/>
        <s v="ORD-0048"/>
        <s v="ORD-0049"/>
        <s v="ORD-0050"/>
        <s v="ORD-0051"/>
        <s v="ORD-0053"/>
        <s v="ORD-0054"/>
        <s v="ORD-0055"/>
        <s v="ORD-0056"/>
        <s v="ORD-0057"/>
        <s v="ORD-0058"/>
        <s v="ORD-0059"/>
        <s v="ORD-0061"/>
        <s v="ORD-0062"/>
        <s v="ORD-0063"/>
        <s v="ORD-0065"/>
        <s v="ORD-0066"/>
        <s v="ORD-0067"/>
        <s v="ORD-0068"/>
        <s v="ORD-0069"/>
        <s v="ORD-0070"/>
        <s v="ORD-0071"/>
        <s v="ORD-0072"/>
        <s v="ORD-0073"/>
        <s v="ORD-0074"/>
        <s v="ORD-0075"/>
        <s v="ORD-0076"/>
        <s v="ORD-0077"/>
        <s v="ORD-0078"/>
        <s v="ORD-0080"/>
        <s v="ORD-0081"/>
        <s v="ORD-0082"/>
        <s v="ORD-0083"/>
        <s v="ORD-0084"/>
        <s v="ORD-0085"/>
        <s v="ORD-0086"/>
        <s v="ORD-0087"/>
        <s v="ORD-0088"/>
        <s v="ORD-0089"/>
        <s v="ORD-0091"/>
        <s v="ORD-0092"/>
        <s v="ORD-0093"/>
        <s v="ORD-0094"/>
        <s v="ORD-0095"/>
        <s v="ORD-0096"/>
        <s v="ORD-0097"/>
        <s v="ORD-0098"/>
        <s v="ORD-0099"/>
        <s v="ORD-0100"/>
        <s v="ORD-0101"/>
        <s v="ORD-0102"/>
        <s v="ORD-0103"/>
        <s v="ORD-0104"/>
        <s v="ORD-0105"/>
        <s v="ORD-0106"/>
        <s v="ORD-0107"/>
        <s v="ORD-0108"/>
        <s v="ORD-0109"/>
        <s v="ORD-0110"/>
        <s v="ORD-0111"/>
        <s v="ORD-0112"/>
        <s v="ORD-0113"/>
        <s v="ORD-0114"/>
        <s v="ORD-0115"/>
        <s v="ORD-0116"/>
        <s v="ORD-0117"/>
        <s v="ORD-0118"/>
        <s v="ORD-0119"/>
        <s v="ORD-0120"/>
        <s v="ORD-0121"/>
        <s v="ORD-0122"/>
        <s v="ORD-0123"/>
        <s v="ORD-0124"/>
        <s v="ORD-0125"/>
        <s v="ORD-0126"/>
        <s v="ORD-0127"/>
        <s v="ORD-0128"/>
        <s v="ORD-0129"/>
        <s v="ORD-0131"/>
        <s v="ORD-0132"/>
        <s v="ORD-0133"/>
        <s v="ORD-0134"/>
        <s v="ORD-0135"/>
        <s v="ORD-0136"/>
        <s v="ORD-0137"/>
        <s v="ORD-0138"/>
        <s v="ORD-0139"/>
        <s v="ORD-0140"/>
        <s v="ORD-0141"/>
        <s v="ORD-0142"/>
        <s v="ORD-0143"/>
        <s v="ORD-0144"/>
        <s v="ORD-0145"/>
        <s v="ORD-0146"/>
        <s v="ORD-0147"/>
        <s v="ORD-0148"/>
        <s v="ORD-0149"/>
        <s v="ORD-0150"/>
        <s v="ORD-0151"/>
        <s v="ORD-0152"/>
        <s v="ORD-0153"/>
        <s v="ORD-0154"/>
        <s v="ORD-0155"/>
        <s v="ORD-0156"/>
        <s v="ORD-0157"/>
        <s v="ORD-0158"/>
        <s v="ORD-0159"/>
        <s v="ORD-0160"/>
        <s v="ORD-0162"/>
        <s v="ORD-0163"/>
        <s v="ORD-0164"/>
        <s v="ORD-0165"/>
        <s v="ORD-0166"/>
        <s v="ORD-0167"/>
        <s v="ORD-0168"/>
        <s v="ORD-0169"/>
        <s v="ORD-0170"/>
        <s v="ORD-0171"/>
        <s v="ORD-0172"/>
        <s v="ORD-0173"/>
        <s v="ORD-0174"/>
        <s v="ORD-0175"/>
        <s v="ORD-0176"/>
        <s v="ORD-0177"/>
        <s v="ORD-0178"/>
        <s v="ORD-0179"/>
        <s v="ORD-0180"/>
        <s v="ORD-0181"/>
        <s v="ORD-0182"/>
        <s v="ORD-0183"/>
        <s v="ORD-0184"/>
        <s v="ORD-0185"/>
        <s v="ORD-0186"/>
        <s v="ORD-0187"/>
        <s v="ORD-0188"/>
        <s v="ORD-0189"/>
        <s v="ORD-0190"/>
        <s v="ORD-0191"/>
        <s v="ORD-0192"/>
        <s v="ORD-0193"/>
        <s v="ORD-0194"/>
        <s v="ORD-0196"/>
        <s v="ORD-0197"/>
        <s v="ORD-0198"/>
        <s v="ORD-0199"/>
        <s v="ORD-0200"/>
        <s v="ORD-0201"/>
        <s v="ORD-0202"/>
        <s v="ORD-0203"/>
        <s v="ORD-0205"/>
        <s v="ORD-0206"/>
        <s v="ORD-0207"/>
        <s v="ORD-0208"/>
        <s v="ORD-0209"/>
        <s v="ORD-0210"/>
        <s v="ORD-0211"/>
        <s v="ORD-0212"/>
        <s v="ORD-0213"/>
        <s v="ORD-0214"/>
        <s v="ORD-0215"/>
        <s v="ORD-0216"/>
        <s v="ORD-0217"/>
        <s v="ORD-0218"/>
        <s v="ORD-0220"/>
        <s v="ORD-0221"/>
        <s v="ORD-0222"/>
        <s v="ORD-0223"/>
        <s v="ORD-0224"/>
        <s v="ORD-0225"/>
        <s v="ORD-0226"/>
        <s v="ORD-0227"/>
        <s v="ORD-0229"/>
        <s v="ORD-0230"/>
        <s v="ORD-0231"/>
        <s v="ORD-0232"/>
        <s v="ORD-0233"/>
        <s v="ORD-0234"/>
        <s v="ORD-0235"/>
        <s v="ORD-0236"/>
        <s v="ORD-0237"/>
        <s v="ORD-0239"/>
        <s v="ORD-0240"/>
        <s v="ORD-0241"/>
        <s v="ORD-0242"/>
        <s v="ORD-0244"/>
        <s v="ORD-0245"/>
        <s v="ORD-0246"/>
        <s v="ORD-0247"/>
        <s v="ORD-0248"/>
        <s v="ORD-0249"/>
        <s v="ORD-0250"/>
        <s v="ORD-0251"/>
        <s v="ORD-0252"/>
        <s v="ORD-0253"/>
        <s v="ORD-0254"/>
        <s v="ORD-0255"/>
        <s v="ORD-0256"/>
        <s v="ORD-0257"/>
        <s v="ORD-0258"/>
        <s v="ORD-0259"/>
        <s v="ORD-0260"/>
        <s v="ORD-0261"/>
        <s v="ORD-0262"/>
        <s v="ORD-0263"/>
        <s v="ORD-0264"/>
        <s v="ORD-0265"/>
        <s v="ORD-0266"/>
        <s v="ORD-0267"/>
        <s v="ORD-0268"/>
        <s v="ORD-0269"/>
        <s v="ORD-0270"/>
        <s v="ORD-0271"/>
        <s v="ORD-0272"/>
        <s v="ORD-0273"/>
        <s v="ORD-0274"/>
        <s v="ORD-0275"/>
        <s v="ORD-0276"/>
        <s v="ORD-0277"/>
        <s v="ORD-0278"/>
        <s v="ORD-0279"/>
        <s v="ORD-0280"/>
        <s v="ORD-0282"/>
        <s v="ORD-0283"/>
        <s v="ORD-0284"/>
        <s v="ORD-0285"/>
        <s v="ORD-0286"/>
        <s v="ORD-0287"/>
        <s v="ORD-0288"/>
        <s v="ORD-0289"/>
        <s v="ORD-0290"/>
        <s v="ORD-0291"/>
        <s v="ORD-0292"/>
        <s v="ORD-0293"/>
        <s v="ORD-0294"/>
        <s v="ORD-0295"/>
        <s v="ORD-0296"/>
        <s v="ORD-0297"/>
        <s v="ORD-0298"/>
        <s v="ORD-0299"/>
        <s v="ORD-0300"/>
        <s v="ORD-0301"/>
        <s v="ORD-0302"/>
        <s v="ORD-0303"/>
        <s v="ORD-0304"/>
        <s v="ORD-0305"/>
        <s v="ORD-0306"/>
        <s v="ORD-0307"/>
        <s v="ORD-0308"/>
        <s v="ORD-0309"/>
        <s v="ORD-0310"/>
        <s v="ORD-0311"/>
        <s v="ORD-0312"/>
        <s v="ORD-0313"/>
        <s v="ORD-0314"/>
        <s v="ORD-0315"/>
        <s v="ORD-0316"/>
        <s v="ORD-0317"/>
        <s v="ORD-0318"/>
        <s v="ORD-0319"/>
        <s v="ORD-0320"/>
        <s v="ORD-0321"/>
        <s v="ORD-0322"/>
        <s v="ORD-0323"/>
        <s v="ORD-0324"/>
        <s v="ORD-0325"/>
        <s v="ORD-0326"/>
        <s v="ORD-0327"/>
        <s v="ORD-0328"/>
        <s v="ORD-0329"/>
        <s v="ORD-0330"/>
        <s v="ORD-0331"/>
        <s v="ORD-0332"/>
        <s v="ORD-0333"/>
        <s v="ORD-0334"/>
        <s v="ORD-0335"/>
        <s v="ORD-0336"/>
        <s v="ORD-0337"/>
        <s v="ORD-0338"/>
        <s v="ORD-0339"/>
        <s v="ORD-0340"/>
        <s v="ORD-0341"/>
        <s v="ORD-0342"/>
        <s v="ORD-0343"/>
        <s v="ORD-0344"/>
        <s v="ORD-0345"/>
        <s v="ORD-0346"/>
        <s v="ORD-0347"/>
        <s v="ORD-0348"/>
        <s v="ORD-0349"/>
        <s v="ORD-0350"/>
      </sharedItems>
    </cacheField>
    <cacheField name="Order_Date" numFmtId="0">
      <sharedItems containsDate="1" containsMixedTypes="1" minDate="2025-01-01T00:00:00" maxDate="2025-10-01T00:00:00" count="191">
        <d v="2025-01-01T00:00:00"/>
        <d v="2025-01-02T00:00:00"/>
        <d v="2025-01-04T00:00:00"/>
        <d v="2025-01-05T00:00:00"/>
        <d v="2025-01-06T00:00:00"/>
        <d v="2025-01-07T00:00:00"/>
        <d v="2025-01-08T00:00:00"/>
        <d v="2025-01-10T00:00:00"/>
        <d v="2025-01-11T00:00:00"/>
        <d v="2025-01-13T00:00:00"/>
        <d v="2025-01-14T00:00:00"/>
        <d v="2025-01-18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3T00:00:00"/>
        <d v="2025-02-14T00:00:00"/>
        <d v="2025-02-15T00:00:00"/>
        <d v="2025-02-16T00:00:00"/>
        <d v="2025-02-17T00:00:00"/>
        <d v="2025-02-18T00:00:00"/>
        <d v="2025-02-20T00:00:00"/>
        <d v="2025-02-21T00:00:00"/>
        <d v="2025-02-23T00:00:00"/>
        <d v="2025-02-24T00:00:00"/>
        <d v="2025-02-25T00:00:00"/>
        <d v="2025-02-26T00:00:00"/>
        <d v="2025-02-27T00:00:00"/>
        <d v="2025-03-02T00:00:00"/>
        <d v="2025-03-03T00:00:00"/>
        <d v="2025-03-05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8T00:00:00"/>
        <d v="2025-03-20T00:00:00"/>
        <d v="2025-03-23T00:00:00"/>
        <d v="2025-03-24T00:00:00"/>
        <d v="2025-03-25T00:00:00"/>
        <d v="2025-03-26T00:00:00"/>
        <d v="2025-03-27T00:00:00"/>
        <d v="2025-03-28T00:00:00"/>
        <d v="2025-03-30T00:00:00"/>
        <d v="2025-03-31T00:00:00"/>
        <d v="2025-04-01T00:00:00"/>
        <d v="2025-04-03T00:00:00"/>
        <d v="2025-04-06T00:00:00"/>
        <d v="2025-04-07T00:00:00"/>
        <d v="2025-04-08T00:00:00"/>
        <d v="2025-04-11T00:00:00"/>
        <d v="2025-04-13T00:00:00"/>
        <d v="2025-04-15T00:00:00"/>
        <d v="2025-04-16T00:00:00"/>
        <d v="2025-04-17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30T00:00:00"/>
        <d v="2025-05-02T00:00:00"/>
        <d v="2025-05-03T00:00:00"/>
        <d v="2025-05-04T00:00:00"/>
        <d v="2025-05-05T00:00:00"/>
        <d v="2025-05-06T00:00:00"/>
        <d v="2025-05-07T00:00:00"/>
        <d v="2025-05-10T00:00:00"/>
        <d v="2025-05-11T00:00:00"/>
        <d v="2025-05-13T00:00:00"/>
        <d v="2025-05-15T00:00:00"/>
        <d v="2025-05-16T00:00:00"/>
        <d v="2025-05-17T00:00:00"/>
        <d v="2025-05-19T00:00:00"/>
        <d v="2025-05-20T00:00:00"/>
        <d v="2025-05-21T00:00:00"/>
        <d v="2025-05-22T00:00:00"/>
        <d v="2025-05-23T00:00:00"/>
        <d v="2025-05-24T00:00:00"/>
        <d v="2025-05-26T00:00:00"/>
        <d v="2025-05-27T00:00:00"/>
        <d v="2025-05-30T00:00:00"/>
        <d v="2025-06-01T00:00:00"/>
        <d v="2025-06-02T00:00:00"/>
        <d v="2025-06-03T00:00:00"/>
        <d v="2025-06-04T00:00:00"/>
        <d v="2025-06-05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9T00:00:00"/>
        <d v="2025-06-22T00:00:00"/>
        <d v="2025-06-23T00:00:00"/>
        <d v="2025-06-26T00:00:00"/>
        <d v="2025-06-30T00:00:00"/>
        <d v="2025-07-02T00:00:00"/>
        <d v="2025-07-04T00:00:00"/>
        <d v="2025-07-05T00:00:00"/>
        <d v="2025-07-06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8T00:00:00"/>
        <d v="2025-07-19T00:00:00"/>
        <d v="2025-07-22T00:00:00"/>
        <d v="2025-07-23T00:00:00"/>
        <d v="2025-07-25T00:00:00"/>
        <d v="2025-07-26T00:00:00"/>
        <d v="2025-07-27T00:00:00"/>
        <d v="2025-07-29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9T00:00:00"/>
        <d v="2025-08-15T00:00:00"/>
        <d v="2025-08-16T00:00:00"/>
        <d v="2025-08-20T00:00:00"/>
        <d v="2025-08-21T00:00:00"/>
        <d v="2025-08-23T00:00:00"/>
        <d v="2025-08-24T00:00:00"/>
        <d v="2025-08-29T00:00:00"/>
        <d v="2025-08-30T00:00:00"/>
        <d v="2025-08-31T00:00:00"/>
        <d v="2025-09-01T00:00:00"/>
        <d v="2025-09-03T00:00:00"/>
        <d v="2025-09-05T00:00:00"/>
        <d v="2025-09-06T00:00:00"/>
        <d v="2025-09-08T00:00:00"/>
        <d v="2025-09-09T00:00:00"/>
        <d v="2025-09-11T00:00:00"/>
        <d v="2025-09-17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s v="13/32/2025"/>
        <s v="not available"/>
      </sharedItems>
    </cacheField>
    <cacheField name="Customer_Name" numFmtId="0">
      <sharedItems count="10">
        <s v="Ahmed Hassan"/>
        <s v="Ali Mohamed"/>
        <s v="Hana Ibrahim"/>
        <s v="Karim Fathy"/>
        <s v="Mona Ali"/>
        <s v="Nour Khaled"/>
        <s v="Omar Samir"/>
        <s v="Salma Mostafa"/>
        <s v="Sara Mahmoud"/>
        <s v="Youssef Adel"/>
      </sharedItems>
    </cacheField>
    <cacheField name="City" numFmtId="0">
      <sharedItems count="7">
        <s v="Alexandria"/>
        <s v="Aswan"/>
        <s v="Cairo"/>
        <s v="Giza"/>
        <s v="Mansoura"/>
        <s v="Tanta"/>
        <s v="Unknown"/>
      </sharedItems>
    </cacheField>
    <cacheField name="Product" numFmtId="0">
      <sharedItems count="10">
        <s v="Backpack"/>
        <s v="Desk Lamp"/>
        <s v="Headphones"/>
        <s v="Keyboard"/>
        <s v="Notebook"/>
        <s v="Pen Set"/>
        <s v="Phone Stand"/>
        <s v="USB-C Cable"/>
        <s v="Water Bottle"/>
        <s v="Wireless Mouse"/>
      </sharedItems>
    </cacheField>
    <cacheField name="Category" numFmtId="0">
      <sharedItems count="4">
        <s v="Accessories"/>
        <s v="Electronics"/>
        <s v="Home &amp; Kitchen"/>
        <s v="Stationery"/>
      </sharedItems>
    </cacheField>
    <cacheField name="Quantity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Unit_Price_EGP" numFmtId="0">
      <sharedItems containsSemiMixedTypes="0" containsString="0" containsNumber="1" minValue="38" maxValue="1091.97" count="332">
        <n v="38"/>
        <n v="49.63"/>
        <n v="49.78"/>
        <n v="49.79"/>
        <n v="49.9"/>
        <n v="50.13"/>
        <n v="52.24"/>
        <n v="52.81"/>
        <n v="53.18"/>
        <n v="53.47"/>
        <n v="54.09"/>
        <n v="54.12"/>
        <n v="54.59"/>
        <n v="55.59"/>
        <n v="55.74"/>
        <n v="56.54"/>
        <n v="57.55"/>
        <n v="57.95"/>
        <n v="58.67"/>
        <n v="58.93"/>
        <n v="59.08"/>
        <n v="59.37"/>
        <n v="59.75"/>
        <n v="59.91"/>
        <n v="60.56"/>
        <n v="60.83"/>
        <n v="61.06"/>
        <n v="61.48"/>
        <n v="61.53"/>
        <n v="61.64"/>
        <n v="62.06"/>
        <n v="62.47"/>
        <n v="81.27"/>
        <n v="82.98"/>
        <n v="84.35"/>
        <n v="84.55"/>
        <n v="85.18"/>
        <n v="86.17"/>
        <n v="86.24"/>
        <n v="87.72"/>
        <n v="87.94"/>
        <n v="88.48"/>
        <n v="89.25"/>
        <n v="89.3"/>
        <n v="90.45"/>
        <n v="90.84"/>
        <n v="91.52"/>
        <n v="92.87"/>
        <n v="93.65"/>
        <n v="94.14"/>
        <n v="95.93"/>
        <n v="96.83"/>
        <n v="98.01"/>
        <n v="98.56"/>
        <n v="98.69"/>
        <n v="99.41"/>
        <n v="99.89"/>
        <n v="100.36"/>
        <n v="101.57"/>
        <n v="102"/>
        <n v="103.37"/>
        <n v="108.2"/>
        <n v="108.42"/>
        <n v="109"/>
        <n v="109.01"/>
        <n v="110.79"/>
        <n v="110.9"/>
        <n v="111.48"/>
        <n v="111.52"/>
        <n v="111.69"/>
        <n v="112.19"/>
        <n v="112.22"/>
        <n v="112.93"/>
        <n v="114.7"/>
        <n v="115.23"/>
        <n v="116.25"/>
        <n v="117.12"/>
        <n v="118.09"/>
        <n v="118.77"/>
        <n v="119.4"/>
        <n v="119.6"/>
        <n v="120.02"/>
        <n v="120.19"/>
        <n v="120.49"/>
        <n v="121.51"/>
        <n v="122.14"/>
        <n v="122.3"/>
        <n v="124.13"/>
        <n v="125.22"/>
        <n v="125.67"/>
        <n v="126.03"/>
        <n v="126.93"/>
        <n v="127.005"/>
        <n v="127.24"/>
        <n v="127.35"/>
        <n v="127.39"/>
        <n v="127.53"/>
        <n v="128.72999999999999"/>
        <n v="131.87"/>
        <n v="132.88"/>
        <n v="133.12"/>
        <n v="133.99"/>
        <n v="134.43"/>
        <n v="135.87"/>
        <n v="136.22"/>
        <n v="136.26"/>
        <n v="136.38999999999999"/>
        <n v="136.41"/>
        <n v="137.13"/>
        <n v="137.85"/>
        <n v="138.18"/>
        <n v="141.82"/>
        <n v="143.97"/>
        <n v="145.12"/>
        <n v="146.07"/>
        <n v="148.16999999999999"/>
        <n v="149.5"/>
        <n v="149.81"/>
        <n v="150.33000000000001"/>
        <n v="151.49"/>
        <n v="152.51"/>
        <n v="154.16999999999999"/>
        <n v="154.61000000000001"/>
        <n v="155.66999999999999"/>
        <n v="157.11000000000001"/>
        <n v="158.79"/>
        <n v="159.79"/>
        <n v="161.09"/>
        <n v="162.07"/>
        <n v="162.47999999999999"/>
        <n v="163.04"/>
        <n v="163.19"/>
        <n v="163.95"/>
        <n v="164.8"/>
        <n v="165.33"/>
        <n v="165.39"/>
        <n v="166.5"/>
        <n v="167.46"/>
        <n v="169.14"/>
        <n v="170.24"/>
        <n v="171.49"/>
        <n v="172.05"/>
        <n v="172.95"/>
        <n v="173.43"/>
        <n v="173.81"/>
        <n v="175.43"/>
        <n v="176.49"/>
        <n v="176.53"/>
        <n v="178.15"/>
        <n v="179.09"/>
        <n v="179.68"/>
        <n v="180.32"/>
        <n v="180.73"/>
        <n v="182.19"/>
        <n v="183.7"/>
        <n v="186.7"/>
        <n v="188.73"/>
        <n v="188.97"/>
        <n v="190.34"/>
        <n v="194.55"/>
        <n v="197.16"/>
        <n v="197.41"/>
        <n v="197.43"/>
        <n v="197.73"/>
        <n v="201.46"/>
        <n v="202.92"/>
        <n v="203.44"/>
        <n v="204.34"/>
        <n v="205.11"/>
        <n v="205.59"/>
        <n v="206.16"/>
        <n v="206.22"/>
        <n v="315.14999999999998"/>
        <n v="316.08"/>
        <n v="318.83"/>
        <n v="328.19"/>
        <n v="331.72"/>
        <n v="334.15"/>
        <n v="335.36"/>
        <n v="340.45"/>
        <n v="341.13"/>
        <n v="344.62"/>
        <n v="345.5"/>
        <n v="348.61"/>
        <n v="354.9"/>
        <n v="358.67"/>
        <n v="362.3"/>
        <n v="369.52"/>
        <n v="370.22"/>
        <n v="373.96"/>
        <n v="376.3"/>
        <n v="379.49"/>
        <n v="379.71"/>
        <n v="383.59"/>
        <n v="384.46"/>
        <n v="385.17"/>
        <n v="386.07"/>
        <n v="387.6"/>
        <n v="388.77"/>
        <n v="389.15"/>
        <n v="389.34"/>
        <n v="391.86"/>
        <n v="392.18"/>
        <n v="393.66"/>
        <n v="395.31"/>
        <n v="395.33"/>
        <n v="395.63"/>
        <n v="396.44"/>
        <n v="396.88"/>
        <n v="397.39"/>
        <n v="399.75"/>
        <n v="406.03"/>
        <n v="406.56"/>
        <n v="407.7"/>
        <n v="409.41"/>
        <n v="411.71"/>
        <n v="416.39"/>
        <n v="417.42"/>
        <n v="419.74"/>
        <n v="419.97"/>
        <n v="421.47"/>
        <n v="422.11"/>
        <n v="424.39"/>
        <n v="426.26"/>
        <n v="427.04"/>
        <n v="430.23"/>
        <n v="432.35"/>
        <n v="434.27"/>
        <n v="434.63"/>
        <n v="437.18"/>
        <n v="442.82"/>
        <n v="446.14"/>
        <n v="456.03"/>
        <n v="469.24"/>
        <n v="469.34"/>
        <n v="470.36"/>
        <n v="476.12"/>
        <n v="476.82"/>
        <n v="476.94"/>
        <n v="481.76"/>
        <n v="482.43"/>
        <n v="593.09"/>
        <n v="603.59"/>
        <n v="608.38"/>
        <n v="610.44000000000005"/>
        <n v="613.19000000000005"/>
        <n v="626.91"/>
        <n v="631.74"/>
        <n v="632.01"/>
        <n v="633.07000000000005"/>
        <n v="633.9"/>
        <n v="653.42999999999995"/>
        <n v="659.23"/>
        <n v="669.7"/>
        <n v="672.32"/>
        <n v="673.9"/>
        <n v="676.22"/>
        <n v="681.85"/>
        <n v="685.18"/>
        <n v="687.9"/>
        <n v="690.87"/>
        <n v="702.63"/>
        <n v="703.22"/>
        <n v="705.55"/>
        <n v="706.90499999999997"/>
        <n v="710.25"/>
        <n v="715.64"/>
        <n v="716.38"/>
        <n v="716.42"/>
        <n v="721.23"/>
        <n v="722.2"/>
        <n v="727.49"/>
        <n v="728.15"/>
        <n v="729.29"/>
        <n v="732.99"/>
        <n v="734.1"/>
        <n v="735.7"/>
        <n v="741.78"/>
        <n v="741.89"/>
        <n v="742.42"/>
        <n v="743.89"/>
        <n v="744.11"/>
        <n v="749.43"/>
        <n v="762.95"/>
        <n v="768.47"/>
        <n v="783.64"/>
        <n v="794.82"/>
        <n v="797.6"/>
        <n v="806.9"/>
        <n v="807.81"/>
        <n v="819.72"/>
        <n v="821.24"/>
        <n v="827.87"/>
        <n v="836.26"/>
        <n v="840.22"/>
        <n v="845.66"/>
        <n v="847.22"/>
        <n v="847.4"/>
        <n v="850.83"/>
        <n v="855.6"/>
        <n v="867"/>
        <n v="869.6"/>
        <n v="870.6"/>
        <n v="878.03"/>
        <n v="889.33"/>
        <n v="890.8"/>
        <n v="892.31"/>
        <n v="893.53"/>
        <n v="904.07"/>
        <n v="917.27"/>
        <n v="927.55"/>
        <n v="936.43"/>
        <n v="959.52"/>
        <n v="971.27"/>
        <n v="974.36"/>
        <n v="980.66"/>
        <n v="987.73"/>
        <n v="999.79"/>
        <n v="1017.76"/>
        <n v="1020.38"/>
        <n v="1026.33"/>
        <n v="1028.03"/>
        <n v="1030.44"/>
        <n v="1041.6099999999999"/>
        <n v="1044.0999999999999"/>
        <n v="1047.0899999999999"/>
        <n v="1052.8"/>
        <n v="1061.46"/>
        <n v="1072.6600000000001"/>
        <n v="1072.8900000000001"/>
        <n v="1074.8699999999999"/>
        <n v="1091.97"/>
      </sharedItems>
    </cacheField>
    <cacheField name="Discount_%" numFmtId="0">
      <sharedItems containsSemiMixedTypes="0" containsString="0" containsNumber="1" containsInteger="1" minValue="0" maxValue="20" count="5">
        <n v="0"/>
        <n v="5"/>
        <n v="10"/>
        <n v="15"/>
        <n v="20"/>
      </sharedItems>
    </cacheField>
    <cacheField name="Sales_Channel" numFmtId="0">
      <sharedItems count="4">
        <s v="Facebook"/>
        <s v="Online"/>
        <s v="Store"/>
        <s v="WhatsApp"/>
      </sharedItems>
    </cacheField>
    <cacheField name="Payment_Method" numFmtId="0">
      <sharedItems count="4">
        <s v="Cash"/>
        <s v="Credit Card"/>
        <s v="Instapay"/>
        <s v="Vodafone Cash"/>
      </sharedItems>
    </cacheField>
    <cacheField name="Order_Status" numFmtId="0">
      <sharedItems count="3">
        <s v="Cancelled"/>
        <s v="Completed"/>
        <s v="Returned"/>
      </sharedItems>
    </cacheField>
    <cacheField name="Customer_Email" numFmtId="0">
      <sharedItems count="122">
        <s v="customer1@example.com"/>
        <s v="customer10@example.com"/>
        <s v="customer100@example.com"/>
        <s v="customer101@example.com"/>
        <s v="customer102@example.com"/>
        <s v="customer103@example.com"/>
        <s v="customer104@example.com"/>
        <s v="customer105@example.com"/>
        <s v="customer106@example.com"/>
        <s v="customer107@example.com"/>
        <s v="customer108@example.com"/>
        <s v="customer109@example.com"/>
        <s v="customer11@example.com"/>
        <s v="customer110@example.com"/>
        <s v="customer111@example.com"/>
        <s v="customer112@example.com"/>
        <s v="customer113@example.com"/>
        <s v="customer114@example.com"/>
        <s v="customer115@example.com"/>
        <s v="customer116@example.com"/>
        <s v="customer117@example.com"/>
        <s v="customer118@example.com"/>
        <s v="customer119@example.com"/>
        <s v="customer12@example.com"/>
        <s v="customer120@example.com"/>
        <s v="customer121@example.com"/>
        <s v="customer122@example.com"/>
        <s v="customer123@example.com"/>
        <s v="customer124@example.com"/>
        <s v="customer125@example.com"/>
        <s v="customer126@example.com"/>
        <s v="customer127@example.com"/>
        <s v="customer129@example.com"/>
        <s v="customer13@example.com"/>
        <s v="customer130@example.com"/>
        <s v="customer15@example.com"/>
        <s v="customer16@example.com"/>
        <s v="customer17@example.com"/>
        <s v="customer18@example.com"/>
        <s v="customer19@example.com"/>
        <s v="customer2@example.com"/>
        <s v="customer20@example.com"/>
        <s v="customer21@example.com"/>
        <s v="customer22@example.com"/>
        <s v="customer23@example.com"/>
        <s v="customer24@example.com"/>
        <s v="customer25@example.com"/>
        <s v="customer26@example.com"/>
        <s v="customer27@example.com"/>
        <s v="customer28@example.com"/>
        <s v="customer29@example.com"/>
        <s v="customer3@example.com"/>
        <s v="customer30@example.com"/>
        <s v="customer31@example.com"/>
        <s v="customer32@example.com"/>
        <s v="customer33@example.com"/>
        <s v="customer34@example.com"/>
        <s v="customer35@example.com"/>
        <s v="customer36@example.com"/>
        <s v="customer37@example.com"/>
        <s v="customer39@example.com"/>
        <s v="customer4@example.com"/>
        <s v="customer40@example.com"/>
        <s v="customer41@example.com"/>
        <s v="customer42@example.com"/>
        <s v="customer43@example.com"/>
        <s v="customer44@example.com"/>
        <s v="customer45@example.com"/>
        <s v="customer46@example.com"/>
        <s v="customer47@example.com"/>
        <s v="customer48@example.com"/>
        <s v="customer49@example.com"/>
        <s v="customer50@example.com"/>
        <s v="customer52@example.com"/>
        <s v="customer53@example.com"/>
        <s v="customer55@example.com"/>
        <s v="customer56@example.com"/>
        <s v="customer57@example.com"/>
        <s v="customer58@example.com"/>
        <s v="customer59@example.com"/>
        <s v="customer6@example.com"/>
        <s v="customer60@example.com"/>
        <s v="customer61@example.com"/>
        <s v="customer62@example.com"/>
        <s v="customer63@example.com"/>
        <s v="customer64@example.com"/>
        <s v="customer65@example.com"/>
        <s v="customer66@example.com"/>
        <s v="customer67@example.com"/>
        <s v="customer68@example.com"/>
        <s v="customer69@example.com"/>
        <s v="customer7@example.com"/>
        <s v="customer71@example.com"/>
        <s v="customer72@example.com"/>
        <s v="customer73@example.com"/>
        <s v="customer74@example.com"/>
        <s v="customer75@example.com"/>
        <s v="customer76@example.com"/>
        <s v="customer77@example.com"/>
        <s v="customer78@example.com"/>
        <s v="customer79@example.com"/>
        <s v="customer8@example.com"/>
        <s v="customer80@example.com"/>
        <s v="customer81@example.com"/>
        <s v="customer82@example.com"/>
        <s v="customer83@example.com"/>
        <s v="customer84@example.com"/>
        <s v="customer85@example.com"/>
        <s v="customer86@example.com"/>
        <s v="customer87@example.com"/>
        <s v="customer88@example.com"/>
        <s v="customer89@example.com"/>
        <s v="customer9@example.com"/>
        <s v="customer90@example.com"/>
        <s v="customer91@example.com"/>
        <s v="customer93@example.com"/>
        <s v="customer94@example.com"/>
        <s v="customer95@example.com"/>
        <s v="customer96@example.com"/>
        <s v="customer97@example.com"/>
        <s v="customer98@example.com"/>
        <s v="Unknown"/>
      </sharedItems>
    </cacheField>
    <cacheField name="Net_Sales_EGP" numFmtId="0">
      <sharedItems containsSemiMixedTypes="0" containsString="0" containsNumber="1" minValue="30.4" maxValue="5459.85" count="335">
        <n v="30.4"/>
        <n v="39.832000000000001"/>
        <n v="42.247999999999998"/>
        <n v="47.015999999999998"/>
        <n v="48.058999999999997"/>
        <n v="48.122999999999998"/>
        <n v="49.223999999999997"/>
        <n v="49.2575"/>
        <n v="49.9"/>
        <n v="51.3855"/>
        <n v="51.414000000000001"/>
        <n v="52.750999999999998"/>
        <n v="53.036999999999999"/>
        <n v="53.18"/>
        <n v="54.59"/>
        <n v="59.37"/>
        <n v="62.47"/>
        <n v="66.384"/>
        <n v="76.662000000000006"/>
        <n v="77.463999999999999"/>
        <n v="78.939499999999995"/>
        <n v="78.947999999999993"/>
        <n v="79.602500000000006"/>
        <n v="80.019000000000005"/>
        <n v="80.37"/>
        <n v="81.540499999999994"/>
        <n v="81.927999999999997"/>
        <n v="84.35"/>
        <n v="86.298000000000002"/>
        <n v="86.56"/>
        <n v="89.183999999999997"/>
        <n v="89.352000000000004"/>
        <n v="90.323999999999998"/>
        <n v="93.033000000000001"/>
        <n v="94.792000000000002"/>
        <n v="94.895499999999998"/>
        <n v="96.152000000000001"/>
        <n v="98.56"/>
        <n v="98.8125"/>
        <n v="99.81"/>
        <n v="100.9545"/>
        <n v="101.66"/>
        <n v="102"/>
        <n v="102.952"/>
        <n v="103.5595"/>
        <n v="103.955"/>
        <n v="105.2505"/>
        <n v="106.60899999999999"/>
        <n v="106.81950000000001"/>
        <n v="107.83799999999999"/>
        <n v="109.128"/>
        <n v="109.494"/>
        <n v="111.264"/>
        <n v="113.42700000000001"/>
        <n v="114.2655"/>
        <n v="114.51600000000001"/>
        <n v="114.61499999999999"/>
        <n v="114.7"/>
        <n v="115.1"/>
        <n v="117.116"/>
        <n v="117.34"/>
        <n v="119.4"/>
        <n v="119.47199999999999"/>
        <n v="119.848"/>
        <n v="121.51"/>
        <n v="123.417"/>
        <n v="125.688"/>
        <n v="126.5565"/>
        <n v="129.40899999999999"/>
        <n v="129.57300000000001"/>
        <n v="130.43199999999999"/>
        <n v="132.31950000000001"/>
        <n v="136.26"/>
        <n v="136.38999999999999"/>
        <n v="137.85"/>
        <n v="137.864"/>
        <n v="142.8135"/>
        <n v="146.232"/>
        <n v="147.41550000000001"/>
        <n v="149.1155"/>
        <n v="150.416"/>
        <n v="151.17599999999999"/>
        <n v="151.49"/>
        <n v="152.22649999999999"/>
        <n v="152.36250000000001"/>
        <n v="153.21600000000001"/>
        <n v="157.904"/>
        <n v="158.79"/>
        <n v="158.84100000000001"/>
        <n v="162.07"/>
        <n v="162.54"/>
        <n v="163.19"/>
        <n v="164.8"/>
        <n v="165.11949999999999"/>
        <n v="165.33"/>
        <n v="166.5"/>
        <n v="169.14"/>
        <n v="169.24250000000001"/>
        <n v="171.49"/>
        <n v="172.66900000000001"/>
        <n v="172.95"/>
        <n v="173.68899999999999"/>
        <n v="175.88"/>
        <n v="177.24"/>
        <n v="177.95699999999999"/>
        <n v="179.68"/>
        <n v="180.73"/>
        <n v="181.31399999999999"/>
        <n v="182.19"/>
        <n v="183.04"/>
        <n v="183.18"/>
        <n v="183.7"/>
        <n v="184.36799999999999"/>
        <n v="184.44"/>
        <n v="185.03100000000001"/>
        <n v="186.21899999999999"/>
        <n v="188.73"/>
        <n v="190.494"/>
        <n v="197.43"/>
        <n v="200.75299999999999"/>
        <n v="205.11"/>
        <n v="225.86"/>
        <n v="228.93100000000001"/>
        <n v="236.25749999999999"/>
        <n v="239.184"/>
        <n v="239.2"/>
        <n v="241.167"/>
        <n v="244.28"/>
        <n v="244.566"/>
        <n v="248.26"/>
        <n v="254.01"/>
        <n v="254.36250000000001"/>
        <n v="262.089"/>
        <n v="263.82"/>
        <n v="267.93599999999998"/>
        <n v="276.471"/>
        <n v="285.05599999999998"/>
        <n v="286.947"/>
        <n v="292.97800000000001"/>
        <n v="299.16800000000001"/>
        <n v="300.73500000000001"/>
        <n v="301.66500000000002"/>
        <n v="309.69"/>
        <n v="313.74900000000002"/>
        <n v="315.45600000000002"/>
        <n v="317.50400000000002"/>
        <n v="319.58"/>
        <n v="321.57600000000002"/>
        <n v="322.75349999999997"/>
        <n v="323.42750000000001"/>
        <n v="325.50400000000002"/>
        <n v="326.16000000000003"/>
        <n v="327"/>
        <n v="330.93900000000002"/>
        <n v="336.57"/>
        <n v="344.62"/>
        <n v="345.12549999999999"/>
        <n v="345.5"/>
        <n v="349.95350000000002"/>
        <n v="352.96199999999999"/>
        <n v="353.06"/>
        <n v="355.79700000000003"/>
        <n v="358.79349999999999"/>
        <n v="358.8"/>
        <n v="360.06"/>
        <n v="362.98399999999998"/>
        <n v="363.46050000000002"/>
        <n v="364.41050000000001"/>
        <n v="370.22"/>
        <n v="375.66"/>
        <n v="377.83350000000002"/>
        <n v="379.49"/>
        <n v="381.55200000000002"/>
        <n v="384.46"/>
        <n v="385.17"/>
        <n v="386.07"/>
        <n v="387.20699999999999"/>
        <n v="387.6"/>
        <n v="389.1"/>
        <n v="393.66"/>
        <n v="395.61"/>
        <n v="398.93900000000002"/>
        <n v="399.36"/>
        <n v="399.75"/>
        <n v="412.44"/>
        <n v="422.75"/>
        <n v="425.46"/>
        <n v="432.35"/>
        <n v="434.27"/>
        <n v="445.92"/>
        <n v="446.84199999999998"/>
        <n v="452.25"/>
        <n v="463.428"/>
        <n v="482.43"/>
        <n v="485.36700000000002"/>
        <n v="494.78399999999999"/>
        <n v="497.05"/>
        <n v="509.56"/>
        <n v="517.12300000000005"/>
        <n v="525.67399999999998"/>
        <n v="535.755"/>
        <n v="548.14400000000001"/>
        <n v="552.72"/>
        <n v="560.1"/>
        <n v="569.76300000000003"/>
        <n v="573.87199999999996"/>
        <n v="582.53049999999996"/>
        <n v="584.28"/>
        <n v="587.23950000000002"/>
        <n v="595.11199999999997"/>
        <n v="599.54399999999998"/>
        <n v="603.59"/>
        <n v="622.03200000000004"/>
        <n v="631.74"/>
        <n v="635.85599999999999"/>
        <n v="642.40899999999999"/>
        <n v="644.36"/>
        <n v="649.10699999999997"/>
        <n v="649.15200000000004"/>
        <n v="653.42999999999995"/>
        <n v="655.8"/>
        <n v="663.44"/>
        <n v="667.87199999999996"/>
        <n v="672.02700000000004"/>
        <n v="687.9"/>
        <n v="688.37"/>
        <n v="691.62300000000005"/>
        <n v="702.63"/>
        <n v="713.59199999999998"/>
        <n v="714.18700000000001"/>
        <n v="714.97"/>
        <n v="724.42250000000001"/>
        <n v="732.99"/>
        <n v="739.38499999999999"/>
        <n v="744.11"/>
        <n v="744.255"/>
        <n v="749.14400000000001"/>
        <n v="750.78399999999999"/>
        <n v="752.63400000000001"/>
        <n v="757.18"/>
        <n v="758.43799999999999"/>
        <n v="761.09400000000005"/>
        <n v="767.41949999999997"/>
        <n v="775.25099999999998"/>
        <n v="780.3"/>
        <n v="786.47649999999999"/>
        <n v="791.14099999999996"/>
        <n v="806.9"/>
        <n v="809.404"/>
        <n v="813.66300000000001"/>
        <n v="839.48"/>
        <n v="839.94"/>
        <n v="847.22"/>
        <n v="855.6"/>
        <n v="858.12800000000004"/>
        <n v="862.41"/>
        <n v="867.32299999999998"/>
        <n v="888.34500000000003"/>
        <n v="893.53"/>
        <n v="917.27"/>
        <n v="935.3415"/>
        <n v="948.24"/>
        <n v="1011.216"/>
        <n v="1011.528"/>
        <n v="1028.03"/>
        <n v="1030.44"/>
        <n v="1047.0899999999999"/>
        <n v="1054.768"/>
        <n v="1061.46"/>
        <n v="1108.56"/>
        <n v="1126.8710000000001"/>
        <n v="1128.8800000000001"/>
        <n v="1129.191"/>
        <n v="1145.8530000000001"/>
        <n v="1153.3800000000001"/>
        <n v="1159.8420000000001"/>
        <n v="1186.848"/>
        <n v="1204.4100000000001"/>
        <n v="1219.68"/>
        <n v="1220.8800000000001"/>
        <n v="1236.7329999999999"/>
        <n v="1237.855"/>
        <n v="1238.6955"/>
        <n v="1253.8240000000001"/>
        <n v="1280.4100000000001"/>
        <n v="1288.152"/>
        <n v="1297.0150000000001"/>
        <n v="1311.5519999999999"/>
        <n v="1344.64"/>
        <n v="1361.328"/>
        <n v="1397.83"/>
        <n v="1409.5909999999999"/>
        <n v="1430.46"/>
        <n v="1435.68"/>
        <n v="1445.28"/>
        <n v="1449.2840000000001"/>
        <n v="1458.58"/>
        <n v="1525.32"/>
        <n v="1567.44"/>
        <n v="1631.184"/>
        <n v="1642.48"/>
        <n v="1668.2570000000001"/>
        <n v="1699.643"/>
        <n v="1741.2"/>
        <n v="1744.761"/>
        <n v="1748.72"/>
        <n v="1786.6935000000001"/>
        <n v="1823.913"/>
        <n v="1826.769"/>
        <n v="1887.6025"/>
        <n v="1917.675"/>
        <n v="1934.3340000000001"/>
        <n v="1948.72"/>
        <n v="1975.46"/>
        <n v="1978.15"/>
        <n v="2035.52"/>
        <n v="2045.55"/>
        <n v="2047.05"/>
        <n v="2105.6"/>
        <n v="2109.66"/>
        <n v="2149.7399999999998"/>
        <n v="2217.48"/>
        <n v="2401.1909999999998"/>
        <n v="2476.7384999999999"/>
        <n v="2543.0835000000002"/>
        <n v="2599.92"/>
        <n v="2643.5174999999999"/>
        <n v="2656.1055000000001"/>
        <n v="2662.4549999999999"/>
        <n v="2686.239"/>
        <n v="2936.4"/>
        <n v="2969.68"/>
        <n v="3013.65"/>
        <n v="3922.64"/>
        <n v="5459.8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5">
  <r>
    <x v="0"/>
    <x v="85"/>
    <x v="4"/>
    <x v="1"/>
    <x v="7"/>
    <x v="1"/>
    <x v="0"/>
    <x v="75"/>
    <x v="3"/>
    <x v="2"/>
    <x v="3"/>
    <x v="1"/>
    <x v="112"/>
    <x v="38"/>
  </r>
  <r>
    <x v="1"/>
    <x v="10"/>
    <x v="8"/>
    <x v="1"/>
    <x v="9"/>
    <x v="1"/>
    <x v="0"/>
    <x v="178"/>
    <x v="3"/>
    <x v="3"/>
    <x v="1"/>
    <x v="0"/>
    <x v="18"/>
    <x v="136"/>
  </r>
  <r>
    <x v="2"/>
    <x v="61"/>
    <x v="5"/>
    <x v="3"/>
    <x v="2"/>
    <x v="1"/>
    <x v="0"/>
    <x v="327"/>
    <x v="0"/>
    <x v="1"/>
    <x v="2"/>
    <x v="2"/>
    <x v="48"/>
    <x v="268"/>
  </r>
  <r>
    <x v="3"/>
    <x v="130"/>
    <x v="9"/>
    <x v="2"/>
    <x v="7"/>
    <x v="1"/>
    <x v="0"/>
    <x v="78"/>
    <x v="3"/>
    <x v="3"/>
    <x v="0"/>
    <x v="0"/>
    <x v="119"/>
    <x v="40"/>
  </r>
  <r>
    <x v="4"/>
    <x v="134"/>
    <x v="8"/>
    <x v="1"/>
    <x v="7"/>
    <x v="1"/>
    <x v="1"/>
    <x v="92"/>
    <x v="0"/>
    <x v="2"/>
    <x v="1"/>
    <x v="0"/>
    <x v="96"/>
    <x v="130"/>
  </r>
  <r>
    <x v="5"/>
    <x v="142"/>
    <x v="3"/>
    <x v="1"/>
    <x v="7"/>
    <x v="1"/>
    <x v="2"/>
    <x v="101"/>
    <x v="4"/>
    <x v="0"/>
    <x v="1"/>
    <x v="1"/>
    <x v="117"/>
    <x v="147"/>
  </r>
  <r>
    <x v="6"/>
    <x v="28"/>
    <x v="6"/>
    <x v="5"/>
    <x v="1"/>
    <x v="2"/>
    <x v="0"/>
    <x v="211"/>
    <x v="3"/>
    <x v="1"/>
    <x v="1"/>
    <x v="0"/>
    <x v="22"/>
    <x v="156"/>
  </r>
  <r>
    <x v="7"/>
    <x v="83"/>
    <x v="0"/>
    <x v="0"/>
    <x v="0"/>
    <x v="0"/>
    <x v="0"/>
    <x v="0"/>
    <x v="4"/>
    <x v="2"/>
    <x v="2"/>
    <x v="1"/>
    <x v="5"/>
    <x v="0"/>
  </r>
  <r>
    <x v="8"/>
    <x v="120"/>
    <x v="3"/>
    <x v="4"/>
    <x v="4"/>
    <x v="3"/>
    <x v="0"/>
    <x v="30"/>
    <x v="3"/>
    <x v="3"/>
    <x v="1"/>
    <x v="1"/>
    <x v="89"/>
    <x v="11"/>
  </r>
  <r>
    <x v="9"/>
    <x v="99"/>
    <x v="7"/>
    <x v="5"/>
    <x v="3"/>
    <x v="1"/>
    <x v="0"/>
    <x v="256"/>
    <x v="1"/>
    <x v="0"/>
    <x v="1"/>
    <x v="0"/>
    <x v="58"/>
    <x v="215"/>
  </r>
  <r>
    <x v="10"/>
    <x v="45"/>
    <x v="6"/>
    <x v="6"/>
    <x v="5"/>
    <x v="3"/>
    <x v="1"/>
    <x v="52"/>
    <x v="1"/>
    <x v="2"/>
    <x v="3"/>
    <x v="1"/>
    <x v="120"/>
    <x v="115"/>
  </r>
  <r>
    <x v="11"/>
    <x v="4"/>
    <x v="2"/>
    <x v="3"/>
    <x v="2"/>
    <x v="1"/>
    <x v="4"/>
    <x v="315"/>
    <x v="4"/>
    <x v="0"/>
    <x v="0"/>
    <x v="1"/>
    <x v="97"/>
    <x v="333"/>
  </r>
  <r>
    <x v="12"/>
    <x v="99"/>
    <x v="6"/>
    <x v="5"/>
    <x v="0"/>
    <x v="0"/>
    <x v="0"/>
    <x v="261"/>
    <x v="0"/>
    <x v="0"/>
    <x v="1"/>
    <x v="0"/>
    <x v="62"/>
    <x v="227"/>
  </r>
  <r>
    <x v="13"/>
    <x v="186"/>
    <x v="1"/>
    <x v="3"/>
    <x v="1"/>
    <x v="2"/>
    <x v="2"/>
    <x v="228"/>
    <x v="1"/>
    <x v="2"/>
    <x v="0"/>
    <x v="1"/>
    <x v="115"/>
    <x v="282"/>
  </r>
  <r>
    <x v="14"/>
    <x v="32"/>
    <x v="3"/>
    <x v="2"/>
    <x v="4"/>
    <x v="3"/>
    <x v="0"/>
    <x v="7"/>
    <x v="4"/>
    <x v="1"/>
    <x v="1"/>
    <x v="1"/>
    <x v="26"/>
    <x v="2"/>
  </r>
  <r>
    <x v="15"/>
    <x v="158"/>
    <x v="2"/>
    <x v="1"/>
    <x v="5"/>
    <x v="3"/>
    <x v="0"/>
    <x v="47"/>
    <x v="3"/>
    <x v="1"/>
    <x v="2"/>
    <x v="1"/>
    <x v="5"/>
    <x v="20"/>
  </r>
  <r>
    <x v="16"/>
    <x v="48"/>
    <x v="8"/>
    <x v="2"/>
    <x v="1"/>
    <x v="2"/>
    <x v="0"/>
    <x v="226"/>
    <x v="0"/>
    <x v="2"/>
    <x v="1"/>
    <x v="1"/>
    <x v="77"/>
    <x v="187"/>
  </r>
  <r>
    <x v="17"/>
    <x v="88"/>
    <x v="0"/>
    <x v="3"/>
    <x v="9"/>
    <x v="1"/>
    <x v="0"/>
    <x v="188"/>
    <x v="0"/>
    <x v="1"/>
    <x v="2"/>
    <x v="1"/>
    <x v="29"/>
    <x v="168"/>
  </r>
  <r>
    <x v="18"/>
    <x v="169"/>
    <x v="3"/>
    <x v="4"/>
    <x v="8"/>
    <x v="2"/>
    <x v="1"/>
    <x v="159"/>
    <x v="0"/>
    <x v="2"/>
    <x v="0"/>
    <x v="1"/>
    <x v="14"/>
    <x v="178"/>
  </r>
  <r>
    <x v="19"/>
    <x v="19"/>
    <x v="0"/>
    <x v="4"/>
    <x v="1"/>
    <x v="2"/>
    <x v="0"/>
    <x v="224"/>
    <x v="3"/>
    <x v="0"/>
    <x v="0"/>
    <x v="1"/>
    <x v="121"/>
    <x v="165"/>
  </r>
  <r>
    <x v="20"/>
    <x v="158"/>
    <x v="9"/>
    <x v="4"/>
    <x v="8"/>
    <x v="2"/>
    <x v="0"/>
    <x v="153"/>
    <x v="0"/>
    <x v="1"/>
    <x v="3"/>
    <x v="1"/>
    <x v="47"/>
    <x v="108"/>
  </r>
  <r>
    <x v="21"/>
    <x v="6"/>
    <x v="8"/>
    <x v="0"/>
    <x v="9"/>
    <x v="1"/>
    <x v="1"/>
    <x v="186"/>
    <x v="1"/>
    <x v="3"/>
    <x v="3"/>
    <x v="1"/>
    <x v="75"/>
    <x v="225"/>
  </r>
  <r>
    <x v="22"/>
    <x v="1"/>
    <x v="9"/>
    <x v="4"/>
    <x v="0"/>
    <x v="0"/>
    <x v="3"/>
    <x v="275"/>
    <x v="0"/>
    <x v="3"/>
    <x v="3"/>
    <x v="2"/>
    <x v="62"/>
    <x v="330"/>
  </r>
  <r>
    <x v="23"/>
    <x v="23"/>
    <x v="0"/>
    <x v="2"/>
    <x v="8"/>
    <x v="2"/>
    <x v="0"/>
    <x v="169"/>
    <x v="2"/>
    <x v="3"/>
    <x v="1"/>
    <x v="1"/>
    <x v="35"/>
    <x v="114"/>
  </r>
  <r>
    <x v="24"/>
    <x v="26"/>
    <x v="7"/>
    <x v="6"/>
    <x v="5"/>
    <x v="3"/>
    <x v="0"/>
    <x v="36"/>
    <x v="2"/>
    <x v="1"/>
    <x v="0"/>
    <x v="1"/>
    <x v="42"/>
    <x v="18"/>
  </r>
  <r>
    <x v="25"/>
    <x v="165"/>
    <x v="4"/>
    <x v="2"/>
    <x v="0"/>
    <x v="0"/>
    <x v="0"/>
    <x v="292"/>
    <x v="1"/>
    <x v="2"/>
    <x v="0"/>
    <x v="1"/>
    <x v="75"/>
    <x v="245"/>
  </r>
  <r>
    <x v="26"/>
    <x v="27"/>
    <x v="5"/>
    <x v="3"/>
    <x v="5"/>
    <x v="3"/>
    <x v="0"/>
    <x v="59"/>
    <x v="0"/>
    <x v="3"/>
    <x v="2"/>
    <x v="1"/>
    <x v="51"/>
    <x v="42"/>
  </r>
  <r>
    <x v="27"/>
    <x v="53"/>
    <x v="4"/>
    <x v="2"/>
    <x v="5"/>
    <x v="3"/>
    <x v="0"/>
    <x v="50"/>
    <x v="3"/>
    <x v="1"/>
    <x v="2"/>
    <x v="1"/>
    <x v="94"/>
    <x v="25"/>
  </r>
  <r>
    <x v="28"/>
    <x v="100"/>
    <x v="3"/>
    <x v="3"/>
    <x v="2"/>
    <x v="1"/>
    <x v="0"/>
    <x v="311"/>
    <x v="4"/>
    <x v="2"/>
    <x v="0"/>
    <x v="0"/>
    <x v="11"/>
    <x v="236"/>
  </r>
  <r>
    <x v="29"/>
    <x v="51"/>
    <x v="6"/>
    <x v="1"/>
    <x v="4"/>
    <x v="3"/>
    <x v="0"/>
    <x v="10"/>
    <x v="1"/>
    <x v="3"/>
    <x v="0"/>
    <x v="1"/>
    <x v="50"/>
    <x v="9"/>
  </r>
  <r>
    <x v="30"/>
    <x v="59"/>
    <x v="0"/>
    <x v="3"/>
    <x v="7"/>
    <x v="1"/>
    <x v="3"/>
    <x v="97"/>
    <x v="2"/>
    <x v="1"/>
    <x v="3"/>
    <x v="0"/>
    <x v="55"/>
    <x v="192"/>
  </r>
  <r>
    <x v="31"/>
    <x v="13"/>
    <x v="8"/>
    <x v="1"/>
    <x v="9"/>
    <x v="1"/>
    <x v="0"/>
    <x v="203"/>
    <x v="0"/>
    <x v="2"/>
    <x v="2"/>
    <x v="1"/>
    <x v="7"/>
    <x v="179"/>
  </r>
  <r>
    <x v="32"/>
    <x v="90"/>
    <x v="6"/>
    <x v="4"/>
    <x v="2"/>
    <x v="1"/>
    <x v="1"/>
    <x v="330"/>
    <x v="0"/>
    <x v="1"/>
    <x v="2"/>
    <x v="1"/>
    <x v="8"/>
    <x v="320"/>
  </r>
  <r>
    <x v="33"/>
    <x v="44"/>
    <x v="0"/>
    <x v="4"/>
    <x v="8"/>
    <x v="2"/>
    <x v="0"/>
    <x v="162"/>
    <x v="0"/>
    <x v="1"/>
    <x v="3"/>
    <x v="2"/>
    <x v="113"/>
    <x v="118"/>
  </r>
  <r>
    <x v="34"/>
    <x v="85"/>
    <x v="8"/>
    <x v="4"/>
    <x v="4"/>
    <x v="3"/>
    <x v="2"/>
    <x v="27"/>
    <x v="0"/>
    <x v="0"/>
    <x v="0"/>
    <x v="1"/>
    <x v="93"/>
    <x v="113"/>
  </r>
  <r>
    <x v="35"/>
    <x v="127"/>
    <x v="4"/>
    <x v="3"/>
    <x v="1"/>
    <x v="2"/>
    <x v="1"/>
    <x v="219"/>
    <x v="0"/>
    <x v="0"/>
    <x v="0"/>
    <x v="1"/>
    <x v="49"/>
    <x v="251"/>
  </r>
  <r>
    <x v="36"/>
    <x v="119"/>
    <x v="1"/>
    <x v="5"/>
    <x v="2"/>
    <x v="1"/>
    <x v="0"/>
    <x v="321"/>
    <x v="0"/>
    <x v="3"/>
    <x v="1"/>
    <x v="2"/>
    <x v="87"/>
    <x v="264"/>
  </r>
  <r>
    <x v="37"/>
    <x v="74"/>
    <x v="7"/>
    <x v="2"/>
    <x v="9"/>
    <x v="1"/>
    <x v="1"/>
    <x v="172"/>
    <x v="3"/>
    <x v="0"/>
    <x v="2"/>
    <x v="1"/>
    <x v="54"/>
    <x v="200"/>
  </r>
  <r>
    <x v="38"/>
    <x v="126"/>
    <x v="9"/>
    <x v="5"/>
    <x v="4"/>
    <x v="3"/>
    <x v="1"/>
    <x v="18"/>
    <x v="0"/>
    <x v="1"/>
    <x v="3"/>
    <x v="2"/>
    <x v="120"/>
    <x v="60"/>
  </r>
  <r>
    <x v="39"/>
    <x v="0"/>
    <x v="9"/>
    <x v="0"/>
    <x v="3"/>
    <x v="1"/>
    <x v="1"/>
    <x v="250"/>
    <x v="1"/>
    <x v="0"/>
    <x v="3"/>
    <x v="1"/>
    <x v="17"/>
    <x v="277"/>
  </r>
  <r>
    <x v="40"/>
    <x v="66"/>
    <x v="9"/>
    <x v="5"/>
    <x v="6"/>
    <x v="0"/>
    <x v="1"/>
    <x v="121"/>
    <x v="3"/>
    <x v="0"/>
    <x v="0"/>
    <x v="1"/>
    <x v="82"/>
    <x v="132"/>
  </r>
  <r>
    <x v="41"/>
    <x v="9"/>
    <x v="8"/>
    <x v="4"/>
    <x v="4"/>
    <x v="3"/>
    <x v="0"/>
    <x v="6"/>
    <x v="2"/>
    <x v="2"/>
    <x v="3"/>
    <x v="1"/>
    <x v="9"/>
    <x v="3"/>
  </r>
  <r>
    <x v="42"/>
    <x v="176"/>
    <x v="8"/>
    <x v="0"/>
    <x v="2"/>
    <x v="1"/>
    <x v="0"/>
    <x v="319"/>
    <x v="3"/>
    <x v="2"/>
    <x v="0"/>
    <x v="2"/>
    <x v="11"/>
    <x v="256"/>
  </r>
  <r>
    <x v="43"/>
    <x v="180"/>
    <x v="0"/>
    <x v="5"/>
    <x v="8"/>
    <x v="2"/>
    <x v="0"/>
    <x v="168"/>
    <x v="0"/>
    <x v="2"/>
    <x v="3"/>
    <x v="2"/>
    <x v="57"/>
    <x v="120"/>
  </r>
  <r>
    <x v="44"/>
    <x v="121"/>
    <x v="1"/>
    <x v="1"/>
    <x v="6"/>
    <x v="0"/>
    <x v="1"/>
    <x v="141"/>
    <x v="2"/>
    <x v="3"/>
    <x v="3"/>
    <x v="2"/>
    <x v="63"/>
    <x v="142"/>
  </r>
  <r>
    <x v="45"/>
    <x v="105"/>
    <x v="3"/>
    <x v="1"/>
    <x v="6"/>
    <x v="0"/>
    <x v="0"/>
    <x v="131"/>
    <x v="0"/>
    <x v="0"/>
    <x v="3"/>
    <x v="0"/>
    <x v="41"/>
    <x v="91"/>
  </r>
  <r>
    <x v="46"/>
    <x v="33"/>
    <x v="6"/>
    <x v="0"/>
    <x v="4"/>
    <x v="3"/>
    <x v="0"/>
    <x v="11"/>
    <x v="1"/>
    <x v="1"/>
    <x v="1"/>
    <x v="1"/>
    <x v="37"/>
    <x v="10"/>
  </r>
  <r>
    <x v="47"/>
    <x v="154"/>
    <x v="8"/>
    <x v="4"/>
    <x v="0"/>
    <x v="0"/>
    <x v="0"/>
    <x v="289"/>
    <x v="1"/>
    <x v="2"/>
    <x v="3"/>
    <x v="1"/>
    <x v="27"/>
    <x v="242"/>
  </r>
  <r>
    <x v="48"/>
    <x v="146"/>
    <x v="2"/>
    <x v="1"/>
    <x v="9"/>
    <x v="1"/>
    <x v="3"/>
    <x v="180"/>
    <x v="3"/>
    <x v="1"/>
    <x v="3"/>
    <x v="2"/>
    <x v="77"/>
    <x v="275"/>
  </r>
  <r>
    <x v="49"/>
    <x v="128"/>
    <x v="6"/>
    <x v="4"/>
    <x v="4"/>
    <x v="3"/>
    <x v="0"/>
    <x v="4"/>
    <x v="0"/>
    <x v="2"/>
    <x v="3"/>
    <x v="2"/>
    <x v="91"/>
    <x v="8"/>
  </r>
  <r>
    <x v="50"/>
    <x v="106"/>
    <x v="9"/>
    <x v="2"/>
    <x v="1"/>
    <x v="2"/>
    <x v="0"/>
    <x v="235"/>
    <x v="1"/>
    <x v="2"/>
    <x v="0"/>
    <x v="2"/>
    <x v="113"/>
    <x v="190"/>
  </r>
  <r>
    <x v="51"/>
    <x v="13"/>
    <x v="8"/>
    <x v="0"/>
    <x v="8"/>
    <x v="2"/>
    <x v="1"/>
    <x v="160"/>
    <x v="4"/>
    <x v="2"/>
    <x v="1"/>
    <x v="1"/>
    <x v="83"/>
    <x v="144"/>
  </r>
  <r>
    <x v="52"/>
    <x v="82"/>
    <x v="9"/>
    <x v="3"/>
    <x v="3"/>
    <x v="1"/>
    <x v="0"/>
    <x v="242"/>
    <x v="0"/>
    <x v="2"/>
    <x v="1"/>
    <x v="2"/>
    <x v="102"/>
    <x v="211"/>
  </r>
  <r>
    <x v="53"/>
    <x v="140"/>
    <x v="8"/>
    <x v="6"/>
    <x v="7"/>
    <x v="1"/>
    <x v="1"/>
    <x v="103"/>
    <x v="2"/>
    <x v="1"/>
    <x v="0"/>
    <x v="2"/>
    <x v="99"/>
    <x v="128"/>
  </r>
  <r>
    <x v="54"/>
    <x v="14"/>
    <x v="2"/>
    <x v="4"/>
    <x v="2"/>
    <x v="1"/>
    <x v="2"/>
    <x v="324"/>
    <x v="3"/>
    <x v="0"/>
    <x v="0"/>
    <x v="1"/>
    <x v="34"/>
    <x v="328"/>
  </r>
  <r>
    <x v="55"/>
    <x v="174"/>
    <x v="7"/>
    <x v="3"/>
    <x v="1"/>
    <x v="2"/>
    <x v="0"/>
    <x v="221"/>
    <x v="3"/>
    <x v="3"/>
    <x v="1"/>
    <x v="1"/>
    <x v="15"/>
    <x v="162"/>
  </r>
  <r>
    <x v="56"/>
    <x v="102"/>
    <x v="2"/>
    <x v="4"/>
    <x v="3"/>
    <x v="1"/>
    <x v="1"/>
    <x v="278"/>
    <x v="1"/>
    <x v="3"/>
    <x v="2"/>
    <x v="0"/>
    <x v="105"/>
    <x v="291"/>
  </r>
  <r>
    <x v="57"/>
    <x v="79"/>
    <x v="9"/>
    <x v="3"/>
    <x v="6"/>
    <x v="0"/>
    <x v="2"/>
    <x v="111"/>
    <x v="0"/>
    <x v="0"/>
    <x v="0"/>
    <x v="1"/>
    <x v="71"/>
    <x v="186"/>
  </r>
  <r>
    <x v="58"/>
    <x v="92"/>
    <x v="3"/>
    <x v="4"/>
    <x v="7"/>
    <x v="1"/>
    <x v="0"/>
    <x v="82"/>
    <x v="4"/>
    <x v="2"/>
    <x v="0"/>
    <x v="2"/>
    <x v="97"/>
    <x v="36"/>
  </r>
  <r>
    <x v="59"/>
    <x v="136"/>
    <x v="2"/>
    <x v="5"/>
    <x v="8"/>
    <x v="2"/>
    <x v="0"/>
    <x v="142"/>
    <x v="0"/>
    <x v="3"/>
    <x v="2"/>
    <x v="2"/>
    <x v="114"/>
    <x v="100"/>
  </r>
  <r>
    <x v="60"/>
    <x v="183"/>
    <x v="9"/>
    <x v="2"/>
    <x v="6"/>
    <x v="0"/>
    <x v="0"/>
    <x v="124"/>
    <x v="4"/>
    <x v="1"/>
    <x v="2"/>
    <x v="0"/>
    <x v="79"/>
    <x v="66"/>
  </r>
  <r>
    <x v="61"/>
    <x v="188"/>
    <x v="9"/>
    <x v="2"/>
    <x v="1"/>
    <x v="2"/>
    <x v="0"/>
    <x v="191"/>
    <x v="0"/>
    <x v="0"/>
    <x v="1"/>
    <x v="1"/>
    <x v="30"/>
    <x v="171"/>
  </r>
  <r>
    <x v="62"/>
    <x v="167"/>
    <x v="3"/>
    <x v="3"/>
    <x v="7"/>
    <x v="1"/>
    <x v="2"/>
    <x v="88"/>
    <x v="0"/>
    <x v="2"/>
    <x v="2"/>
    <x v="2"/>
    <x v="27"/>
    <x v="169"/>
  </r>
  <r>
    <x v="63"/>
    <x v="29"/>
    <x v="0"/>
    <x v="0"/>
    <x v="7"/>
    <x v="1"/>
    <x v="2"/>
    <x v="81"/>
    <x v="0"/>
    <x v="0"/>
    <x v="0"/>
    <x v="0"/>
    <x v="85"/>
    <x v="164"/>
  </r>
  <r>
    <x v="64"/>
    <x v="86"/>
    <x v="7"/>
    <x v="4"/>
    <x v="7"/>
    <x v="1"/>
    <x v="1"/>
    <x v="83"/>
    <x v="1"/>
    <x v="0"/>
    <x v="3"/>
    <x v="0"/>
    <x v="100"/>
    <x v="122"/>
  </r>
  <r>
    <x v="65"/>
    <x v="40"/>
    <x v="8"/>
    <x v="3"/>
    <x v="2"/>
    <x v="1"/>
    <x v="1"/>
    <x v="317"/>
    <x v="3"/>
    <x v="2"/>
    <x v="1"/>
    <x v="1"/>
    <x v="83"/>
    <x v="302"/>
  </r>
  <r>
    <x v="66"/>
    <x v="189"/>
    <x v="1"/>
    <x v="4"/>
    <x v="3"/>
    <x v="1"/>
    <x v="1"/>
    <x v="244"/>
    <x v="0"/>
    <x v="2"/>
    <x v="1"/>
    <x v="2"/>
    <x v="95"/>
    <x v="279"/>
  </r>
  <r>
    <x v="67"/>
    <x v="89"/>
    <x v="1"/>
    <x v="1"/>
    <x v="4"/>
    <x v="3"/>
    <x v="1"/>
    <x v="14"/>
    <x v="4"/>
    <x v="1"/>
    <x v="3"/>
    <x v="1"/>
    <x v="52"/>
    <x v="30"/>
  </r>
  <r>
    <x v="68"/>
    <x v="101"/>
    <x v="4"/>
    <x v="2"/>
    <x v="5"/>
    <x v="3"/>
    <x v="0"/>
    <x v="34"/>
    <x v="0"/>
    <x v="0"/>
    <x v="2"/>
    <x v="1"/>
    <x v="16"/>
    <x v="27"/>
  </r>
  <r>
    <x v="69"/>
    <x v="150"/>
    <x v="2"/>
    <x v="5"/>
    <x v="7"/>
    <x v="1"/>
    <x v="0"/>
    <x v="76"/>
    <x v="1"/>
    <x v="3"/>
    <x v="0"/>
    <x v="1"/>
    <x v="12"/>
    <x v="52"/>
  </r>
  <r>
    <x v="70"/>
    <x v="10"/>
    <x v="8"/>
    <x v="1"/>
    <x v="0"/>
    <x v="0"/>
    <x v="1"/>
    <x v="290"/>
    <x v="4"/>
    <x v="2"/>
    <x v="2"/>
    <x v="1"/>
    <x v="12"/>
    <x v="287"/>
  </r>
  <r>
    <x v="71"/>
    <x v="106"/>
    <x v="1"/>
    <x v="4"/>
    <x v="3"/>
    <x v="1"/>
    <x v="0"/>
    <x v="260"/>
    <x v="3"/>
    <x v="3"/>
    <x v="0"/>
    <x v="1"/>
    <x v="25"/>
    <x v="208"/>
  </r>
  <r>
    <x v="72"/>
    <x v="42"/>
    <x v="5"/>
    <x v="4"/>
    <x v="1"/>
    <x v="2"/>
    <x v="0"/>
    <x v="215"/>
    <x v="3"/>
    <x v="3"/>
    <x v="2"/>
    <x v="0"/>
    <x v="5"/>
    <x v="158"/>
  </r>
  <r>
    <x v="73"/>
    <x v="96"/>
    <x v="4"/>
    <x v="4"/>
    <x v="5"/>
    <x v="3"/>
    <x v="0"/>
    <x v="33"/>
    <x v="4"/>
    <x v="2"/>
    <x v="3"/>
    <x v="1"/>
    <x v="8"/>
    <x v="17"/>
  </r>
  <r>
    <x v="74"/>
    <x v="91"/>
    <x v="9"/>
    <x v="5"/>
    <x v="6"/>
    <x v="0"/>
    <x v="0"/>
    <x v="140"/>
    <x v="0"/>
    <x v="3"/>
    <x v="0"/>
    <x v="1"/>
    <x v="78"/>
    <x v="98"/>
  </r>
  <r>
    <x v="75"/>
    <x v="60"/>
    <x v="9"/>
    <x v="5"/>
    <x v="7"/>
    <x v="1"/>
    <x v="0"/>
    <x v="68"/>
    <x v="3"/>
    <x v="0"/>
    <x v="3"/>
    <x v="2"/>
    <x v="28"/>
    <x v="34"/>
  </r>
  <r>
    <x v="76"/>
    <x v="144"/>
    <x v="1"/>
    <x v="5"/>
    <x v="6"/>
    <x v="0"/>
    <x v="0"/>
    <x v="123"/>
    <x v="3"/>
    <x v="1"/>
    <x v="0"/>
    <x v="1"/>
    <x v="92"/>
    <x v="71"/>
  </r>
  <r>
    <x v="77"/>
    <x v="101"/>
    <x v="9"/>
    <x v="1"/>
    <x v="0"/>
    <x v="0"/>
    <x v="0"/>
    <x v="299"/>
    <x v="0"/>
    <x v="1"/>
    <x v="1"/>
    <x v="1"/>
    <x v="18"/>
    <x v="253"/>
  </r>
  <r>
    <x v="78"/>
    <x v="141"/>
    <x v="5"/>
    <x v="0"/>
    <x v="5"/>
    <x v="3"/>
    <x v="1"/>
    <x v="41"/>
    <x v="3"/>
    <x v="1"/>
    <x v="3"/>
    <x v="2"/>
    <x v="81"/>
    <x v="80"/>
  </r>
  <r>
    <x v="79"/>
    <x v="143"/>
    <x v="6"/>
    <x v="4"/>
    <x v="0"/>
    <x v="0"/>
    <x v="0"/>
    <x v="296"/>
    <x v="0"/>
    <x v="1"/>
    <x v="2"/>
    <x v="2"/>
    <x v="47"/>
    <x v="252"/>
  </r>
  <r>
    <x v="80"/>
    <x v="6"/>
    <x v="7"/>
    <x v="1"/>
    <x v="6"/>
    <x v="0"/>
    <x v="0"/>
    <x v="138"/>
    <x v="0"/>
    <x v="2"/>
    <x v="3"/>
    <x v="1"/>
    <x v="89"/>
    <x v="96"/>
  </r>
  <r>
    <x v="81"/>
    <x v="33"/>
    <x v="2"/>
    <x v="4"/>
    <x v="1"/>
    <x v="2"/>
    <x v="1"/>
    <x v="218"/>
    <x v="0"/>
    <x v="3"/>
    <x v="0"/>
    <x v="1"/>
    <x v="121"/>
    <x v="250"/>
  </r>
  <r>
    <x v="82"/>
    <x v="87"/>
    <x v="7"/>
    <x v="2"/>
    <x v="8"/>
    <x v="2"/>
    <x v="1"/>
    <x v="166"/>
    <x v="4"/>
    <x v="2"/>
    <x v="3"/>
    <x v="1"/>
    <x v="65"/>
    <x v="150"/>
  </r>
  <r>
    <x v="83"/>
    <x v="20"/>
    <x v="5"/>
    <x v="3"/>
    <x v="4"/>
    <x v="3"/>
    <x v="3"/>
    <x v="5"/>
    <x v="1"/>
    <x v="1"/>
    <x v="1"/>
    <x v="1"/>
    <x v="8"/>
    <x v="117"/>
  </r>
  <r>
    <x v="84"/>
    <x v="97"/>
    <x v="3"/>
    <x v="3"/>
    <x v="8"/>
    <x v="2"/>
    <x v="0"/>
    <x v="143"/>
    <x v="3"/>
    <x v="1"/>
    <x v="0"/>
    <x v="1"/>
    <x v="17"/>
    <x v="78"/>
  </r>
  <r>
    <x v="85"/>
    <x v="159"/>
    <x v="3"/>
    <x v="3"/>
    <x v="1"/>
    <x v="2"/>
    <x v="4"/>
    <x v="214"/>
    <x v="0"/>
    <x v="3"/>
    <x v="3"/>
    <x v="1"/>
    <x v="49"/>
    <x v="317"/>
  </r>
  <r>
    <x v="86"/>
    <x v="111"/>
    <x v="0"/>
    <x v="1"/>
    <x v="8"/>
    <x v="2"/>
    <x v="0"/>
    <x v="148"/>
    <x v="1"/>
    <x v="0"/>
    <x v="0"/>
    <x v="1"/>
    <x v="33"/>
    <x v="97"/>
  </r>
  <r>
    <x v="87"/>
    <x v="109"/>
    <x v="1"/>
    <x v="3"/>
    <x v="2"/>
    <x v="1"/>
    <x v="1"/>
    <x v="326"/>
    <x v="0"/>
    <x v="1"/>
    <x v="2"/>
    <x v="1"/>
    <x v="58"/>
    <x v="318"/>
  </r>
  <r>
    <x v="88"/>
    <x v="117"/>
    <x v="0"/>
    <x v="5"/>
    <x v="7"/>
    <x v="1"/>
    <x v="3"/>
    <x v="95"/>
    <x v="0"/>
    <x v="1"/>
    <x v="0"/>
    <x v="2"/>
    <x v="97"/>
    <x v="197"/>
  </r>
  <r>
    <x v="89"/>
    <x v="52"/>
    <x v="5"/>
    <x v="5"/>
    <x v="1"/>
    <x v="2"/>
    <x v="1"/>
    <x v="207"/>
    <x v="2"/>
    <x v="0"/>
    <x v="1"/>
    <x v="0"/>
    <x v="87"/>
    <x v="228"/>
  </r>
  <r>
    <x v="90"/>
    <x v="129"/>
    <x v="3"/>
    <x v="2"/>
    <x v="6"/>
    <x v="0"/>
    <x v="3"/>
    <x v="114"/>
    <x v="0"/>
    <x v="1"/>
    <x v="3"/>
    <x v="1"/>
    <x v="116"/>
    <x v="207"/>
  </r>
  <r>
    <x v="91"/>
    <x v="49"/>
    <x v="5"/>
    <x v="1"/>
    <x v="7"/>
    <x v="1"/>
    <x v="2"/>
    <x v="62"/>
    <x v="3"/>
    <x v="0"/>
    <x v="3"/>
    <x v="2"/>
    <x v="118"/>
    <x v="135"/>
  </r>
  <r>
    <x v="92"/>
    <x v="126"/>
    <x v="8"/>
    <x v="1"/>
    <x v="7"/>
    <x v="1"/>
    <x v="1"/>
    <x v="85"/>
    <x v="0"/>
    <x v="3"/>
    <x v="2"/>
    <x v="0"/>
    <x v="7"/>
    <x v="127"/>
  </r>
  <r>
    <x v="93"/>
    <x v="115"/>
    <x v="4"/>
    <x v="2"/>
    <x v="7"/>
    <x v="1"/>
    <x v="0"/>
    <x v="106"/>
    <x v="0"/>
    <x v="1"/>
    <x v="3"/>
    <x v="2"/>
    <x v="20"/>
    <x v="73"/>
  </r>
  <r>
    <x v="94"/>
    <x v="156"/>
    <x v="6"/>
    <x v="4"/>
    <x v="1"/>
    <x v="2"/>
    <x v="1"/>
    <x v="232"/>
    <x v="3"/>
    <x v="2"/>
    <x v="3"/>
    <x v="0"/>
    <x v="7"/>
    <x v="243"/>
  </r>
  <r>
    <x v="95"/>
    <x v="162"/>
    <x v="8"/>
    <x v="3"/>
    <x v="4"/>
    <x v="3"/>
    <x v="0"/>
    <x v="12"/>
    <x v="0"/>
    <x v="0"/>
    <x v="2"/>
    <x v="2"/>
    <x v="36"/>
    <x v="14"/>
  </r>
  <r>
    <x v="96"/>
    <x v="164"/>
    <x v="8"/>
    <x v="1"/>
    <x v="0"/>
    <x v="0"/>
    <x v="0"/>
    <x v="305"/>
    <x v="3"/>
    <x v="2"/>
    <x v="0"/>
    <x v="1"/>
    <x v="108"/>
    <x v="239"/>
  </r>
  <r>
    <x v="97"/>
    <x v="77"/>
    <x v="2"/>
    <x v="0"/>
    <x v="8"/>
    <x v="2"/>
    <x v="4"/>
    <x v="161"/>
    <x v="2"/>
    <x v="0"/>
    <x v="1"/>
    <x v="1"/>
    <x v="107"/>
    <x v="257"/>
  </r>
  <r>
    <x v="98"/>
    <x v="105"/>
    <x v="6"/>
    <x v="5"/>
    <x v="3"/>
    <x v="1"/>
    <x v="2"/>
    <x v="257"/>
    <x v="0"/>
    <x v="1"/>
    <x v="0"/>
    <x v="1"/>
    <x v="91"/>
    <x v="316"/>
  </r>
  <r>
    <x v="99"/>
    <x v="90"/>
    <x v="5"/>
    <x v="2"/>
    <x v="3"/>
    <x v="1"/>
    <x v="0"/>
    <x v="281"/>
    <x v="0"/>
    <x v="0"/>
    <x v="0"/>
    <x v="0"/>
    <x v="55"/>
    <x v="234"/>
  </r>
  <r>
    <x v="100"/>
    <x v="170"/>
    <x v="5"/>
    <x v="5"/>
    <x v="0"/>
    <x v="0"/>
    <x v="1"/>
    <x v="297"/>
    <x v="2"/>
    <x v="2"/>
    <x v="3"/>
    <x v="2"/>
    <x v="32"/>
    <x v="297"/>
  </r>
  <r>
    <x v="101"/>
    <x v="181"/>
    <x v="3"/>
    <x v="1"/>
    <x v="8"/>
    <x v="2"/>
    <x v="3"/>
    <x v="132"/>
    <x v="0"/>
    <x v="2"/>
    <x v="3"/>
    <x v="1"/>
    <x v="5"/>
    <x v="220"/>
  </r>
  <r>
    <x v="102"/>
    <x v="162"/>
    <x v="4"/>
    <x v="3"/>
    <x v="0"/>
    <x v="0"/>
    <x v="1"/>
    <x v="287"/>
    <x v="2"/>
    <x v="1"/>
    <x v="0"/>
    <x v="1"/>
    <x v="55"/>
    <x v="293"/>
  </r>
  <r>
    <x v="103"/>
    <x v="125"/>
    <x v="1"/>
    <x v="5"/>
    <x v="4"/>
    <x v="3"/>
    <x v="1"/>
    <x v="16"/>
    <x v="0"/>
    <x v="3"/>
    <x v="3"/>
    <x v="2"/>
    <x v="47"/>
    <x v="58"/>
  </r>
  <r>
    <x v="104"/>
    <x v="81"/>
    <x v="3"/>
    <x v="0"/>
    <x v="7"/>
    <x v="1"/>
    <x v="2"/>
    <x v="96"/>
    <x v="1"/>
    <x v="0"/>
    <x v="3"/>
    <x v="2"/>
    <x v="5"/>
    <x v="166"/>
  </r>
  <r>
    <x v="105"/>
    <x v="119"/>
    <x v="5"/>
    <x v="0"/>
    <x v="0"/>
    <x v="0"/>
    <x v="1"/>
    <x v="283"/>
    <x v="3"/>
    <x v="3"/>
    <x v="0"/>
    <x v="1"/>
    <x v="45"/>
    <x v="286"/>
  </r>
  <r>
    <x v="106"/>
    <x v="138"/>
    <x v="2"/>
    <x v="2"/>
    <x v="7"/>
    <x v="1"/>
    <x v="0"/>
    <x v="66"/>
    <x v="2"/>
    <x v="0"/>
    <x v="0"/>
    <x v="1"/>
    <x v="8"/>
    <x v="39"/>
  </r>
  <r>
    <x v="107"/>
    <x v="158"/>
    <x v="9"/>
    <x v="5"/>
    <x v="1"/>
    <x v="2"/>
    <x v="2"/>
    <x v="237"/>
    <x v="0"/>
    <x v="0"/>
    <x v="0"/>
    <x v="1"/>
    <x v="34"/>
    <x v="292"/>
  </r>
  <r>
    <x v="108"/>
    <x v="44"/>
    <x v="2"/>
    <x v="3"/>
    <x v="8"/>
    <x v="2"/>
    <x v="0"/>
    <x v="154"/>
    <x v="0"/>
    <x v="0"/>
    <x v="1"/>
    <x v="1"/>
    <x v="13"/>
    <x v="111"/>
  </r>
  <r>
    <x v="109"/>
    <x v="10"/>
    <x v="9"/>
    <x v="2"/>
    <x v="5"/>
    <x v="3"/>
    <x v="4"/>
    <x v="55"/>
    <x v="0"/>
    <x v="0"/>
    <x v="2"/>
    <x v="0"/>
    <x v="109"/>
    <x v="196"/>
  </r>
  <r>
    <x v="110"/>
    <x v="149"/>
    <x v="6"/>
    <x v="1"/>
    <x v="1"/>
    <x v="2"/>
    <x v="0"/>
    <x v="234"/>
    <x v="3"/>
    <x v="2"/>
    <x v="0"/>
    <x v="1"/>
    <x v="76"/>
    <x v="181"/>
  </r>
  <r>
    <x v="111"/>
    <x v="137"/>
    <x v="5"/>
    <x v="5"/>
    <x v="0"/>
    <x v="0"/>
    <x v="0"/>
    <x v="284"/>
    <x v="2"/>
    <x v="2"/>
    <x v="0"/>
    <x v="1"/>
    <x v="62"/>
    <x v="226"/>
  </r>
  <r>
    <x v="112"/>
    <x v="33"/>
    <x v="3"/>
    <x v="1"/>
    <x v="3"/>
    <x v="1"/>
    <x v="1"/>
    <x v="241"/>
    <x v="1"/>
    <x v="3"/>
    <x v="3"/>
    <x v="1"/>
    <x v="9"/>
    <x v="270"/>
  </r>
  <r>
    <x v="113"/>
    <x v="130"/>
    <x v="4"/>
    <x v="3"/>
    <x v="4"/>
    <x v="3"/>
    <x v="0"/>
    <x v="15"/>
    <x v="3"/>
    <x v="3"/>
    <x v="2"/>
    <x v="2"/>
    <x v="23"/>
    <x v="4"/>
  </r>
  <r>
    <x v="114"/>
    <x v="2"/>
    <x v="9"/>
    <x v="0"/>
    <x v="8"/>
    <x v="2"/>
    <x v="0"/>
    <x v="157"/>
    <x v="4"/>
    <x v="1"/>
    <x v="2"/>
    <x v="1"/>
    <x v="96"/>
    <x v="81"/>
  </r>
  <r>
    <x v="115"/>
    <x v="160"/>
    <x v="6"/>
    <x v="4"/>
    <x v="1"/>
    <x v="2"/>
    <x v="0"/>
    <x v="225"/>
    <x v="2"/>
    <x v="1"/>
    <x v="2"/>
    <x v="1"/>
    <x v="39"/>
    <x v="176"/>
  </r>
  <r>
    <x v="116"/>
    <x v="7"/>
    <x v="4"/>
    <x v="3"/>
    <x v="0"/>
    <x v="0"/>
    <x v="2"/>
    <x v="265"/>
    <x v="2"/>
    <x v="3"/>
    <x v="3"/>
    <x v="2"/>
    <x v="9"/>
    <x v="310"/>
  </r>
  <r>
    <x v="117"/>
    <x v="125"/>
    <x v="1"/>
    <x v="4"/>
    <x v="4"/>
    <x v="3"/>
    <x v="0"/>
    <x v="3"/>
    <x v="4"/>
    <x v="0"/>
    <x v="0"/>
    <x v="1"/>
    <x v="15"/>
    <x v="1"/>
  </r>
  <r>
    <x v="118"/>
    <x v="183"/>
    <x v="7"/>
    <x v="3"/>
    <x v="7"/>
    <x v="1"/>
    <x v="0"/>
    <x v="89"/>
    <x v="3"/>
    <x v="0"/>
    <x v="1"/>
    <x v="1"/>
    <x v="108"/>
    <x v="48"/>
  </r>
  <r>
    <x v="119"/>
    <x v="186"/>
    <x v="8"/>
    <x v="3"/>
    <x v="3"/>
    <x v="1"/>
    <x v="0"/>
    <x v="259"/>
    <x v="0"/>
    <x v="1"/>
    <x v="1"/>
    <x v="0"/>
    <x v="48"/>
    <x v="224"/>
  </r>
  <r>
    <x v="120"/>
    <x v="60"/>
    <x v="6"/>
    <x v="1"/>
    <x v="3"/>
    <x v="1"/>
    <x v="0"/>
    <x v="245"/>
    <x v="1"/>
    <x v="3"/>
    <x v="3"/>
    <x v="1"/>
    <x v="105"/>
    <x v="206"/>
  </r>
  <r>
    <x v="121"/>
    <x v="161"/>
    <x v="9"/>
    <x v="5"/>
    <x v="1"/>
    <x v="2"/>
    <x v="0"/>
    <x v="195"/>
    <x v="0"/>
    <x v="0"/>
    <x v="0"/>
    <x v="1"/>
    <x v="102"/>
    <x v="174"/>
  </r>
  <r>
    <x v="122"/>
    <x v="109"/>
    <x v="4"/>
    <x v="5"/>
    <x v="6"/>
    <x v="0"/>
    <x v="0"/>
    <x v="108"/>
    <x v="2"/>
    <x v="3"/>
    <x v="3"/>
    <x v="1"/>
    <x v="12"/>
    <x v="65"/>
  </r>
  <r>
    <x v="123"/>
    <x v="34"/>
    <x v="6"/>
    <x v="2"/>
    <x v="7"/>
    <x v="1"/>
    <x v="2"/>
    <x v="100"/>
    <x v="0"/>
    <x v="3"/>
    <x v="3"/>
    <x v="0"/>
    <x v="121"/>
    <x v="182"/>
  </r>
  <r>
    <x v="124"/>
    <x v="152"/>
    <x v="1"/>
    <x v="2"/>
    <x v="1"/>
    <x v="2"/>
    <x v="0"/>
    <x v="213"/>
    <x v="4"/>
    <x v="0"/>
    <x v="0"/>
    <x v="1"/>
    <x v="107"/>
    <x v="151"/>
  </r>
  <r>
    <x v="125"/>
    <x v="96"/>
    <x v="6"/>
    <x v="3"/>
    <x v="7"/>
    <x v="1"/>
    <x v="1"/>
    <x v="80"/>
    <x v="0"/>
    <x v="1"/>
    <x v="2"/>
    <x v="0"/>
    <x v="102"/>
    <x v="125"/>
  </r>
  <r>
    <x v="126"/>
    <x v="34"/>
    <x v="2"/>
    <x v="4"/>
    <x v="0"/>
    <x v="0"/>
    <x v="0"/>
    <x v="294"/>
    <x v="3"/>
    <x v="0"/>
    <x v="1"/>
    <x v="1"/>
    <x v="45"/>
    <x v="229"/>
  </r>
  <r>
    <x v="127"/>
    <x v="117"/>
    <x v="8"/>
    <x v="3"/>
    <x v="0"/>
    <x v="0"/>
    <x v="1"/>
    <x v="263"/>
    <x v="4"/>
    <x v="3"/>
    <x v="1"/>
    <x v="1"/>
    <x v="78"/>
    <x v="271"/>
  </r>
  <r>
    <x v="128"/>
    <x v="41"/>
    <x v="2"/>
    <x v="1"/>
    <x v="3"/>
    <x v="1"/>
    <x v="0"/>
    <x v="249"/>
    <x v="2"/>
    <x v="2"/>
    <x v="2"/>
    <x v="0"/>
    <x v="56"/>
    <x v="204"/>
  </r>
  <r>
    <x v="129"/>
    <x v="64"/>
    <x v="0"/>
    <x v="4"/>
    <x v="2"/>
    <x v="1"/>
    <x v="0"/>
    <x v="307"/>
    <x v="0"/>
    <x v="1"/>
    <x v="3"/>
    <x v="2"/>
    <x v="94"/>
    <x v="258"/>
  </r>
  <r>
    <x v="130"/>
    <x v="167"/>
    <x v="5"/>
    <x v="1"/>
    <x v="6"/>
    <x v="0"/>
    <x v="0"/>
    <x v="112"/>
    <x v="2"/>
    <x v="3"/>
    <x v="3"/>
    <x v="1"/>
    <x v="94"/>
    <x v="69"/>
  </r>
  <r>
    <x v="131"/>
    <x v="62"/>
    <x v="1"/>
    <x v="0"/>
    <x v="0"/>
    <x v="0"/>
    <x v="1"/>
    <x v="285"/>
    <x v="4"/>
    <x v="0"/>
    <x v="0"/>
    <x v="1"/>
    <x v="28"/>
    <x v="283"/>
  </r>
  <r>
    <x v="132"/>
    <x v="179"/>
    <x v="9"/>
    <x v="2"/>
    <x v="1"/>
    <x v="2"/>
    <x v="1"/>
    <x v="198"/>
    <x v="4"/>
    <x v="1"/>
    <x v="2"/>
    <x v="1"/>
    <x v="19"/>
    <x v="212"/>
  </r>
  <r>
    <x v="133"/>
    <x v="84"/>
    <x v="5"/>
    <x v="2"/>
    <x v="5"/>
    <x v="3"/>
    <x v="0"/>
    <x v="45"/>
    <x v="1"/>
    <x v="2"/>
    <x v="3"/>
    <x v="2"/>
    <x v="32"/>
    <x v="28"/>
  </r>
  <r>
    <x v="134"/>
    <x v="139"/>
    <x v="0"/>
    <x v="3"/>
    <x v="1"/>
    <x v="2"/>
    <x v="0"/>
    <x v="240"/>
    <x v="0"/>
    <x v="0"/>
    <x v="1"/>
    <x v="1"/>
    <x v="58"/>
    <x v="193"/>
  </r>
  <r>
    <x v="135"/>
    <x v="56"/>
    <x v="3"/>
    <x v="5"/>
    <x v="9"/>
    <x v="1"/>
    <x v="0"/>
    <x v="197"/>
    <x v="0"/>
    <x v="2"/>
    <x v="0"/>
    <x v="2"/>
    <x v="87"/>
    <x v="177"/>
  </r>
  <r>
    <x v="136"/>
    <x v="185"/>
    <x v="4"/>
    <x v="3"/>
    <x v="8"/>
    <x v="2"/>
    <x v="2"/>
    <x v="155"/>
    <x v="0"/>
    <x v="0"/>
    <x v="0"/>
    <x v="2"/>
    <x v="33"/>
    <x v="203"/>
  </r>
  <r>
    <x v="137"/>
    <x v="165"/>
    <x v="4"/>
    <x v="4"/>
    <x v="8"/>
    <x v="2"/>
    <x v="0"/>
    <x v="163"/>
    <x v="2"/>
    <x v="2"/>
    <x v="1"/>
    <x v="1"/>
    <x v="59"/>
    <x v="104"/>
  </r>
  <r>
    <x v="138"/>
    <x v="92"/>
    <x v="7"/>
    <x v="0"/>
    <x v="4"/>
    <x v="3"/>
    <x v="0"/>
    <x v="17"/>
    <x v="3"/>
    <x v="2"/>
    <x v="2"/>
    <x v="0"/>
    <x v="38"/>
    <x v="7"/>
  </r>
  <r>
    <x v="139"/>
    <x v="177"/>
    <x v="0"/>
    <x v="4"/>
    <x v="5"/>
    <x v="3"/>
    <x v="1"/>
    <x v="54"/>
    <x v="4"/>
    <x v="3"/>
    <x v="0"/>
    <x v="0"/>
    <x v="2"/>
    <x v="86"/>
  </r>
  <r>
    <x v="140"/>
    <x v="26"/>
    <x v="8"/>
    <x v="1"/>
    <x v="1"/>
    <x v="2"/>
    <x v="0"/>
    <x v="192"/>
    <x v="3"/>
    <x v="2"/>
    <x v="2"/>
    <x v="1"/>
    <x v="57"/>
    <x v="148"/>
  </r>
  <r>
    <x v="141"/>
    <x v="68"/>
    <x v="3"/>
    <x v="1"/>
    <x v="9"/>
    <x v="1"/>
    <x v="0"/>
    <x v="181"/>
    <x v="0"/>
    <x v="1"/>
    <x v="0"/>
    <x v="2"/>
    <x v="21"/>
    <x v="155"/>
  </r>
  <r>
    <x v="142"/>
    <x v="75"/>
    <x v="5"/>
    <x v="3"/>
    <x v="9"/>
    <x v="1"/>
    <x v="0"/>
    <x v="174"/>
    <x v="2"/>
    <x v="3"/>
    <x v="3"/>
    <x v="1"/>
    <x v="86"/>
    <x v="137"/>
  </r>
  <r>
    <x v="143"/>
    <x v="132"/>
    <x v="5"/>
    <x v="3"/>
    <x v="9"/>
    <x v="1"/>
    <x v="1"/>
    <x v="176"/>
    <x v="0"/>
    <x v="0"/>
    <x v="3"/>
    <x v="1"/>
    <x v="5"/>
    <x v="221"/>
  </r>
  <r>
    <x v="144"/>
    <x v="71"/>
    <x v="3"/>
    <x v="3"/>
    <x v="6"/>
    <x v="0"/>
    <x v="2"/>
    <x v="116"/>
    <x v="4"/>
    <x v="0"/>
    <x v="0"/>
    <x v="2"/>
    <x v="11"/>
    <x v="163"/>
  </r>
  <r>
    <x v="145"/>
    <x v="70"/>
    <x v="9"/>
    <x v="3"/>
    <x v="7"/>
    <x v="1"/>
    <x v="0"/>
    <x v="109"/>
    <x v="0"/>
    <x v="2"/>
    <x v="2"/>
    <x v="0"/>
    <x v="97"/>
    <x v="74"/>
  </r>
  <r>
    <x v="146"/>
    <x v="65"/>
    <x v="5"/>
    <x v="4"/>
    <x v="4"/>
    <x v="3"/>
    <x v="0"/>
    <x v="21"/>
    <x v="0"/>
    <x v="0"/>
    <x v="3"/>
    <x v="2"/>
    <x v="92"/>
    <x v="15"/>
  </r>
  <r>
    <x v="147"/>
    <x v="135"/>
    <x v="6"/>
    <x v="2"/>
    <x v="9"/>
    <x v="1"/>
    <x v="0"/>
    <x v="194"/>
    <x v="0"/>
    <x v="3"/>
    <x v="0"/>
    <x v="0"/>
    <x v="55"/>
    <x v="173"/>
  </r>
  <r>
    <x v="148"/>
    <x v="134"/>
    <x v="1"/>
    <x v="2"/>
    <x v="7"/>
    <x v="1"/>
    <x v="0"/>
    <x v="94"/>
    <x v="2"/>
    <x v="1"/>
    <x v="3"/>
    <x v="2"/>
    <x v="117"/>
    <x v="56"/>
  </r>
  <r>
    <x v="149"/>
    <x v="55"/>
    <x v="5"/>
    <x v="4"/>
    <x v="1"/>
    <x v="2"/>
    <x v="0"/>
    <x v="196"/>
    <x v="0"/>
    <x v="0"/>
    <x v="1"/>
    <x v="0"/>
    <x v="52"/>
    <x v="175"/>
  </r>
  <r>
    <x v="150"/>
    <x v="145"/>
    <x v="4"/>
    <x v="3"/>
    <x v="9"/>
    <x v="1"/>
    <x v="1"/>
    <x v="185"/>
    <x v="4"/>
    <x v="0"/>
    <x v="3"/>
    <x v="0"/>
    <x v="75"/>
    <x v="205"/>
  </r>
  <r>
    <x v="151"/>
    <x v="175"/>
    <x v="4"/>
    <x v="0"/>
    <x v="2"/>
    <x v="1"/>
    <x v="0"/>
    <x v="328"/>
    <x v="4"/>
    <x v="2"/>
    <x v="3"/>
    <x v="1"/>
    <x v="67"/>
    <x v="254"/>
  </r>
  <r>
    <x v="152"/>
    <x v="122"/>
    <x v="4"/>
    <x v="5"/>
    <x v="6"/>
    <x v="0"/>
    <x v="4"/>
    <x v="135"/>
    <x v="2"/>
    <x v="0"/>
    <x v="2"/>
    <x v="1"/>
    <x v="63"/>
    <x v="235"/>
  </r>
  <r>
    <x v="153"/>
    <x v="51"/>
    <x v="4"/>
    <x v="2"/>
    <x v="5"/>
    <x v="3"/>
    <x v="1"/>
    <x v="46"/>
    <x v="0"/>
    <x v="3"/>
    <x v="3"/>
    <x v="0"/>
    <x v="8"/>
    <x v="109"/>
  </r>
  <r>
    <x v="154"/>
    <x v="121"/>
    <x v="3"/>
    <x v="4"/>
    <x v="0"/>
    <x v="0"/>
    <x v="2"/>
    <x v="267"/>
    <x v="3"/>
    <x v="0"/>
    <x v="1"/>
    <x v="1"/>
    <x v="69"/>
    <x v="308"/>
  </r>
  <r>
    <x v="155"/>
    <x v="20"/>
    <x v="2"/>
    <x v="0"/>
    <x v="3"/>
    <x v="1"/>
    <x v="0"/>
    <x v="274"/>
    <x v="0"/>
    <x v="1"/>
    <x v="1"/>
    <x v="1"/>
    <x v="105"/>
    <x v="232"/>
  </r>
  <r>
    <x v="156"/>
    <x v="108"/>
    <x v="9"/>
    <x v="0"/>
    <x v="8"/>
    <x v="2"/>
    <x v="0"/>
    <x v="167"/>
    <x v="3"/>
    <x v="0"/>
    <x v="1"/>
    <x v="1"/>
    <x v="99"/>
    <x v="101"/>
  </r>
  <r>
    <x v="157"/>
    <x v="66"/>
    <x v="1"/>
    <x v="0"/>
    <x v="2"/>
    <x v="1"/>
    <x v="1"/>
    <x v="314"/>
    <x v="0"/>
    <x v="0"/>
    <x v="0"/>
    <x v="0"/>
    <x v="101"/>
    <x v="312"/>
  </r>
  <r>
    <x v="158"/>
    <x v="100"/>
    <x v="1"/>
    <x v="4"/>
    <x v="7"/>
    <x v="1"/>
    <x v="0"/>
    <x v="93"/>
    <x v="2"/>
    <x v="2"/>
    <x v="3"/>
    <x v="1"/>
    <x v="96"/>
    <x v="55"/>
  </r>
  <r>
    <x v="159"/>
    <x v="151"/>
    <x v="3"/>
    <x v="2"/>
    <x v="4"/>
    <x v="3"/>
    <x v="1"/>
    <x v="24"/>
    <x v="3"/>
    <x v="2"/>
    <x v="1"/>
    <x v="1"/>
    <x v="16"/>
    <x v="43"/>
  </r>
  <r>
    <x v="160"/>
    <x v="58"/>
    <x v="5"/>
    <x v="1"/>
    <x v="0"/>
    <x v="0"/>
    <x v="1"/>
    <x v="277"/>
    <x v="4"/>
    <x v="0"/>
    <x v="3"/>
    <x v="1"/>
    <x v="56"/>
    <x v="276"/>
  </r>
  <r>
    <x v="161"/>
    <x v="92"/>
    <x v="4"/>
    <x v="3"/>
    <x v="1"/>
    <x v="2"/>
    <x v="1"/>
    <x v="199"/>
    <x v="1"/>
    <x v="1"/>
    <x v="1"/>
    <x v="2"/>
    <x v="46"/>
    <x v="233"/>
  </r>
  <r>
    <x v="162"/>
    <x v="156"/>
    <x v="6"/>
    <x v="3"/>
    <x v="9"/>
    <x v="1"/>
    <x v="0"/>
    <x v="183"/>
    <x v="2"/>
    <x v="0"/>
    <x v="1"/>
    <x v="1"/>
    <x v="63"/>
    <x v="143"/>
  </r>
  <r>
    <x v="163"/>
    <x v="116"/>
    <x v="0"/>
    <x v="2"/>
    <x v="6"/>
    <x v="0"/>
    <x v="4"/>
    <x v="120"/>
    <x v="1"/>
    <x v="3"/>
    <x v="1"/>
    <x v="2"/>
    <x v="76"/>
    <x v="231"/>
  </r>
  <r>
    <x v="164"/>
    <x v="176"/>
    <x v="3"/>
    <x v="3"/>
    <x v="2"/>
    <x v="1"/>
    <x v="0"/>
    <x v="300"/>
    <x v="2"/>
    <x v="2"/>
    <x v="0"/>
    <x v="0"/>
    <x v="14"/>
    <x v="244"/>
  </r>
  <r>
    <x v="165"/>
    <x v="150"/>
    <x v="0"/>
    <x v="4"/>
    <x v="3"/>
    <x v="1"/>
    <x v="2"/>
    <x v="262"/>
    <x v="0"/>
    <x v="1"/>
    <x v="2"/>
    <x v="1"/>
    <x v="95"/>
    <x v="319"/>
  </r>
  <r>
    <x v="166"/>
    <x v="107"/>
    <x v="1"/>
    <x v="2"/>
    <x v="7"/>
    <x v="1"/>
    <x v="0"/>
    <x v="84"/>
    <x v="0"/>
    <x v="2"/>
    <x v="3"/>
    <x v="0"/>
    <x v="118"/>
    <x v="64"/>
  </r>
  <r>
    <x v="167"/>
    <x v="58"/>
    <x v="1"/>
    <x v="5"/>
    <x v="1"/>
    <x v="2"/>
    <x v="1"/>
    <x v="216"/>
    <x v="1"/>
    <x v="2"/>
    <x v="0"/>
    <x v="1"/>
    <x v="1"/>
    <x v="246"/>
  </r>
  <r>
    <x v="168"/>
    <x v="180"/>
    <x v="6"/>
    <x v="5"/>
    <x v="3"/>
    <x v="1"/>
    <x v="1"/>
    <x v="266"/>
    <x v="2"/>
    <x v="1"/>
    <x v="2"/>
    <x v="2"/>
    <x v="104"/>
    <x v="285"/>
  </r>
  <r>
    <x v="169"/>
    <x v="113"/>
    <x v="5"/>
    <x v="5"/>
    <x v="3"/>
    <x v="1"/>
    <x v="0"/>
    <x v="258"/>
    <x v="4"/>
    <x v="3"/>
    <x v="2"/>
    <x v="0"/>
    <x v="26"/>
    <x v="201"/>
  </r>
  <r>
    <x v="170"/>
    <x v="155"/>
    <x v="9"/>
    <x v="1"/>
    <x v="9"/>
    <x v="1"/>
    <x v="0"/>
    <x v="189"/>
    <x v="4"/>
    <x v="2"/>
    <x v="3"/>
    <x v="0"/>
    <x v="89"/>
    <x v="139"/>
  </r>
  <r>
    <x v="171"/>
    <x v="171"/>
    <x v="2"/>
    <x v="1"/>
    <x v="2"/>
    <x v="1"/>
    <x v="1"/>
    <x v="320"/>
    <x v="3"/>
    <x v="3"/>
    <x v="1"/>
    <x v="1"/>
    <x v="84"/>
    <x v="304"/>
  </r>
  <r>
    <x v="172"/>
    <x v="73"/>
    <x v="3"/>
    <x v="3"/>
    <x v="9"/>
    <x v="1"/>
    <x v="1"/>
    <x v="190"/>
    <x v="1"/>
    <x v="1"/>
    <x v="3"/>
    <x v="1"/>
    <x v="74"/>
    <x v="230"/>
  </r>
  <r>
    <x v="173"/>
    <x v="168"/>
    <x v="6"/>
    <x v="5"/>
    <x v="0"/>
    <x v="0"/>
    <x v="1"/>
    <x v="291"/>
    <x v="0"/>
    <x v="0"/>
    <x v="3"/>
    <x v="1"/>
    <x v="119"/>
    <x v="300"/>
  </r>
  <r>
    <x v="174"/>
    <x v="187"/>
    <x v="2"/>
    <x v="3"/>
    <x v="1"/>
    <x v="2"/>
    <x v="3"/>
    <x v="223"/>
    <x v="3"/>
    <x v="0"/>
    <x v="3"/>
    <x v="1"/>
    <x v="72"/>
    <x v="295"/>
  </r>
  <r>
    <x v="175"/>
    <x v="112"/>
    <x v="8"/>
    <x v="1"/>
    <x v="8"/>
    <x v="2"/>
    <x v="0"/>
    <x v="145"/>
    <x v="3"/>
    <x v="0"/>
    <x v="2"/>
    <x v="1"/>
    <x v="27"/>
    <x v="79"/>
  </r>
  <r>
    <x v="176"/>
    <x v="104"/>
    <x v="4"/>
    <x v="5"/>
    <x v="1"/>
    <x v="2"/>
    <x v="1"/>
    <x v="236"/>
    <x v="3"/>
    <x v="3"/>
    <x v="3"/>
    <x v="1"/>
    <x v="111"/>
    <x v="248"/>
  </r>
  <r>
    <x v="177"/>
    <x v="32"/>
    <x v="3"/>
    <x v="1"/>
    <x v="3"/>
    <x v="1"/>
    <x v="0"/>
    <x v="247"/>
    <x v="0"/>
    <x v="3"/>
    <x v="1"/>
    <x v="1"/>
    <x v="73"/>
    <x v="213"/>
  </r>
  <r>
    <x v="178"/>
    <x v="103"/>
    <x v="4"/>
    <x v="5"/>
    <x v="5"/>
    <x v="3"/>
    <x v="0"/>
    <x v="48"/>
    <x v="3"/>
    <x v="1"/>
    <x v="1"/>
    <x v="1"/>
    <x v="33"/>
    <x v="22"/>
  </r>
  <r>
    <x v="179"/>
    <x v="41"/>
    <x v="5"/>
    <x v="1"/>
    <x v="5"/>
    <x v="3"/>
    <x v="0"/>
    <x v="38"/>
    <x v="1"/>
    <x v="2"/>
    <x v="1"/>
    <x v="2"/>
    <x v="121"/>
    <x v="26"/>
  </r>
  <r>
    <x v="180"/>
    <x v="170"/>
    <x v="8"/>
    <x v="3"/>
    <x v="5"/>
    <x v="3"/>
    <x v="4"/>
    <x v="35"/>
    <x v="0"/>
    <x v="0"/>
    <x v="0"/>
    <x v="2"/>
    <x v="44"/>
    <x v="185"/>
  </r>
  <r>
    <x v="181"/>
    <x v="12"/>
    <x v="7"/>
    <x v="0"/>
    <x v="2"/>
    <x v="1"/>
    <x v="0"/>
    <x v="322"/>
    <x v="0"/>
    <x v="3"/>
    <x v="3"/>
    <x v="1"/>
    <x v="70"/>
    <x v="265"/>
  </r>
  <r>
    <x v="182"/>
    <x v="43"/>
    <x v="9"/>
    <x v="4"/>
    <x v="4"/>
    <x v="3"/>
    <x v="2"/>
    <x v="1"/>
    <x v="3"/>
    <x v="3"/>
    <x v="1"/>
    <x v="1"/>
    <x v="34"/>
    <x v="67"/>
  </r>
  <r>
    <x v="183"/>
    <x v="127"/>
    <x v="3"/>
    <x v="1"/>
    <x v="6"/>
    <x v="0"/>
    <x v="0"/>
    <x v="134"/>
    <x v="0"/>
    <x v="1"/>
    <x v="0"/>
    <x v="1"/>
    <x v="109"/>
    <x v="94"/>
  </r>
  <r>
    <x v="184"/>
    <x v="68"/>
    <x v="7"/>
    <x v="4"/>
    <x v="4"/>
    <x v="3"/>
    <x v="1"/>
    <x v="23"/>
    <x v="2"/>
    <x v="0"/>
    <x v="0"/>
    <x v="0"/>
    <x v="121"/>
    <x v="49"/>
  </r>
  <r>
    <x v="185"/>
    <x v="124"/>
    <x v="0"/>
    <x v="3"/>
    <x v="7"/>
    <x v="1"/>
    <x v="0"/>
    <x v="71"/>
    <x v="1"/>
    <x v="1"/>
    <x v="3"/>
    <x v="1"/>
    <x v="90"/>
    <x v="47"/>
  </r>
  <r>
    <x v="186"/>
    <x v="118"/>
    <x v="9"/>
    <x v="3"/>
    <x v="4"/>
    <x v="3"/>
    <x v="0"/>
    <x v="19"/>
    <x v="2"/>
    <x v="1"/>
    <x v="1"/>
    <x v="1"/>
    <x v="57"/>
    <x v="12"/>
  </r>
  <r>
    <x v="187"/>
    <x v="139"/>
    <x v="2"/>
    <x v="4"/>
    <x v="6"/>
    <x v="0"/>
    <x v="0"/>
    <x v="130"/>
    <x v="4"/>
    <x v="1"/>
    <x v="1"/>
    <x v="2"/>
    <x v="42"/>
    <x v="70"/>
  </r>
  <r>
    <x v="188"/>
    <x v="31"/>
    <x v="4"/>
    <x v="2"/>
    <x v="5"/>
    <x v="3"/>
    <x v="0"/>
    <x v="51"/>
    <x v="4"/>
    <x v="1"/>
    <x v="1"/>
    <x v="0"/>
    <x v="65"/>
    <x v="19"/>
  </r>
  <r>
    <x v="189"/>
    <x v="77"/>
    <x v="3"/>
    <x v="2"/>
    <x v="1"/>
    <x v="2"/>
    <x v="2"/>
    <x v="222"/>
    <x v="2"/>
    <x v="3"/>
    <x v="0"/>
    <x v="0"/>
    <x v="20"/>
    <x v="273"/>
  </r>
  <r>
    <x v="190"/>
    <x v="21"/>
    <x v="3"/>
    <x v="1"/>
    <x v="3"/>
    <x v="1"/>
    <x v="1"/>
    <x v="252"/>
    <x v="4"/>
    <x v="0"/>
    <x v="0"/>
    <x v="0"/>
    <x v="4"/>
    <x v="267"/>
  </r>
  <r>
    <x v="191"/>
    <x v="29"/>
    <x v="7"/>
    <x v="3"/>
    <x v="4"/>
    <x v="3"/>
    <x v="2"/>
    <x v="22"/>
    <x v="3"/>
    <x v="2"/>
    <x v="0"/>
    <x v="1"/>
    <x v="38"/>
    <x v="84"/>
  </r>
  <r>
    <x v="192"/>
    <x v="54"/>
    <x v="5"/>
    <x v="4"/>
    <x v="6"/>
    <x v="0"/>
    <x v="0"/>
    <x v="118"/>
    <x v="1"/>
    <x v="3"/>
    <x v="3"/>
    <x v="2"/>
    <x v="42"/>
    <x v="76"/>
  </r>
  <r>
    <x v="193"/>
    <x v="47"/>
    <x v="2"/>
    <x v="4"/>
    <x v="5"/>
    <x v="3"/>
    <x v="0"/>
    <x v="57"/>
    <x v="2"/>
    <x v="1"/>
    <x v="1"/>
    <x v="1"/>
    <x v="0"/>
    <x v="32"/>
  </r>
  <r>
    <x v="194"/>
    <x v="46"/>
    <x v="7"/>
    <x v="5"/>
    <x v="4"/>
    <x v="3"/>
    <x v="0"/>
    <x v="28"/>
    <x v="4"/>
    <x v="2"/>
    <x v="1"/>
    <x v="1"/>
    <x v="74"/>
    <x v="6"/>
  </r>
  <r>
    <x v="195"/>
    <x v="16"/>
    <x v="0"/>
    <x v="4"/>
    <x v="7"/>
    <x v="1"/>
    <x v="0"/>
    <x v="64"/>
    <x v="1"/>
    <x v="1"/>
    <x v="1"/>
    <x v="1"/>
    <x v="35"/>
    <x v="44"/>
  </r>
  <r>
    <x v="196"/>
    <x v="122"/>
    <x v="1"/>
    <x v="1"/>
    <x v="3"/>
    <x v="1"/>
    <x v="1"/>
    <x v="248"/>
    <x v="4"/>
    <x v="0"/>
    <x v="1"/>
    <x v="0"/>
    <x v="99"/>
    <x v="262"/>
  </r>
  <r>
    <x v="197"/>
    <x v="153"/>
    <x v="9"/>
    <x v="2"/>
    <x v="3"/>
    <x v="1"/>
    <x v="4"/>
    <x v="253"/>
    <x v="2"/>
    <x v="1"/>
    <x v="3"/>
    <x v="1"/>
    <x v="31"/>
    <x v="332"/>
  </r>
  <r>
    <x v="198"/>
    <x v="143"/>
    <x v="5"/>
    <x v="1"/>
    <x v="9"/>
    <x v="1"/>
    <x v="4"/>
    <x v="209"/>
    <x v="1"/>
    <x v="3"/>
    <x v="1"/>
    <x v="0"/>
    <x v="98"/>
    <x v="309"/>
  </r>
  <r>
    <x v="199"/>
    <x v="92"/>
    <x v="9"/>
    <x v="1"/>
    <x v="0"/>
    <x v="0"/>
    <x v="0"/>
    <x v="288"/>
    <x v="0"/>
    <x v="3"/>
    <x v="0"/>
    <x v="1"/>
    <x v="8"/>
    <x v="247"/>
  </r>
  <r>
    <x v="200"/>
    <x v="93"/>
    <x v="8"/>
    <x v="3"/>
    <x v="0"/>
    <x v="0"/>
    <x v="1"/>
    <x v="272"/>
    <x v="3"/>
    <x v="2"/>
    <x v="3"/>
    <x v="1"/>
    <x v="117"/>
    <x v="281"/>
  </r>
  <r>
    <x v="201"/>
    <x v="18"/>
    <x v="7"/>
    <x v="1"/>
    <x v="7"/>
    <x v="1"/>
    <x v="1"/>
    <x v="99"/>
    <x v="2"/>
    <x v="2"/>
    <x v="0"/>
    <x v="1"/>
    <x v="71"/>
    <x v="124"/>
  </r>
  <r>
    <x v="202"/>
    <x v="171"/>
    <x v="5"/>
    <x v="3"/>
    <x v="2"/>
    <x v="1"/>
    <x v="1"/>
    <x v="316"/>
    <x v="0"/>
    <x v="1"/>
    <x v="1"/>
    <x v="1"/>
    <x v="53"/>
    <x v="313"/>
  </r>
  <r>
    <x v="203"/>
    <x v="76"/>
    <x v="8"/>
    <x v="6"/>
    <x v="6"/>
    <x v="0"/>
    <x v="3"/>
    <x v="127"/>
    <x v="0"/>
    <x v="0"/>
    <x v="3"/>
    <x v="2"/>
    <x v="24"/>
    <x v="216"/>
  </r>
  <r>
    <x v="204"/>
    <x v="133"/>
    <x v="3"/>
    <x v="4"/>
    <x v="5"/>
    <x v="3"/>
    <x v="1"/>
    <x v="40"/>
    <x v="0"/>
    <x v="3"/>
    <x v="2"/>
    <x v="0"/>
    <x v="74"/>
    <x v="102"/>
  </r>
  <r>
    <x v="205"/>
    <x v="84"/>
    <x v="0"/>
    <x v="3"/>
    <x v="1"/>
    <x v="2"/>
    <x v="0"/>
    <x v="202"/>
    <x v="2"/>
    <x v="3"/>
    <x v="2"/>
    <x v="1"/>
    <x v="62"/>
    <x v="159"/>
  </r>
  <r>
    <x v="206"/>
    <x v="94"/>
    <x v="2"/>
    <x v="1"/>
    <x v="8"/>
    <x v="2"/>
    <x v="0"/>
    <x v="149"/>
    <x v="3"/>
    <x v="0"/>
    <x v="2"/>
    <x v="2"/>
    <x v="30"/>
    <x v="83"/>
  </r>
  <r>
    <x v="207"/>
    <x v="131"/>
    <x v="6"/>
    <x v="1"/>
    <x v="6"/>
    <x v="0"/>
    <x v="0"/>
    <x v="129"/>
    <x v="2"/>
    <x v="3"/>
    <x v="1"/>
    <x v="1"/>
    <x v="36"/>
    <x v="77"/>
  </r>
  <r>
    <x v="208"/>
    <x v="22"/>
    <x v="1"/>
    <x v="4"/>
    <x v="9"/>
    <x v="1"/>
    <x v="0"/>
    <x v="184"/>
    <x v="3"/>
    <x v="3"/>
    <x v="0"/>
    <x v="0"/>
    <x v="40"/>
    <x v="141"/>
  </r>
  <r>
    <x v="209"/>
    <x v="186"/>
    <x v="2"/>
    <x v="3"/>
    <x v="5"/>
    <x v="3"/>
    <x v="1"/>
    <x v="32"/>
    <x v="0"/>
    <x v="3"/>
    <x v="1"/>
    <x v="1"/>
    <x v="49"/>
    <x v="90"/>
  </r>
  <r>
    <x v="210"/>
    <x v="184"/>
    <x v="5"/>
    <x v="3"/>
    <x v="7"/>
    <x v="1"/>
    <x v="1"/>
    <x v="74"/>
    <x v="4"/>
    <x v="3"/>
    <x v="0"/>
    <x v="1"/>
    <x v="118"/>
    <x v="112"/>
  </r>
  <r>
    <x v="211"/>
    <x v="86"/>
    <x v="4"/>
    <x v="1"/>
    <x v="0"/>
    <x v="0"/>
    <x v="0"/>
    <x v="282"/>
    <x v="4"/>
    <x v="2"/>
    <x v="0"/>
    <x v="1"/>
    <x v="6"/>
    <x v="210"/>
  </r>
  <r>
    <x v="212"/>
    <x v="3"/>
    <x v="4"/>
    <x v="4"/>
    <x v="0"/>
    <x v="0"/>
    <x v="0"/>
    <x v="286"/>
    <x v="4"/>
    <x v="3"/>
    <x v="2"/>
    <x v="1"/>
    <x v="46"/>
    <x v="214"/>
  </r>
  <r>
    <x v="213"/>
    <x v="170"/>
    <x v="0"/>
    <x v="2"/>
    <x v="5"/>
    <x v="3"/>
    <x v="3"/>
    <x v="37"/>
    <x v="3"/>
    <x v="0"/>
    <x v="0"/>
    <x v="1"/>
    <x v="68"/>
    <x v="138"/>
  </r>
  <r>
    <x v="214"/>
    <x v="58"/>
    <x v="4"/>
    <x v="3"/>
    <x v="1"/>
    <x v="2"/>
    <x v="0"/>
    <x v="210"/>
    <x v="0"/>
    <x v="1"/>
    <x v="3"/>
    <x v="2"/>
    <x v="107"/>
    <x v="183"/>
  </r>
  <r>
    <x v="215"/>
    <x v="32"/>
    <x v="5"/>
    <x v="2"/>
    <x v="0"/>
    <x v="0"/>
    <x v="1"/>
    <x v="273"/>
    <x v="0"/>
    <x v="3"/>
    <x v="1"/>
    <x v="0"/>
    <x v="41"/>
    <x v="296"/>
  </r>
  <r>
    <x v="216"/>
    <x v="71"/>
    <x v="7"/>
    <x v="2"/>
    <x v="1"/>
    <x v="2"/>
    <x v="1"/>
    <x v="217"/>
    <x v="4"/>
    <x v="0"/>
    <x v="1"/>
    <x v="0"/>
    <x v="39"/>
    <x v="222"/>
  </r>
  <r>
    <x v="217"/>
    <x v="60"/>
    <x v="5"/>
    <x v="3"/>
    <x v="7"/>
    <x v="1"/>
    <x v="0"/>
    <x v="79"/>
    <x v="0"/>
    <x v="2"/>
    <x v="0"/>
    <x v="2"/>
    <x v="100"/>
    <x v="61"/>
  </r>
  <r>
    <x v="218"/>
    <x v="52"/>
    <x v="6"/>
    <x v="4"/>
    <x v="6"/>
    <x v="0"/>
    <x v="0"/>
    <x v="113"/>
    <x v="1"/>
    <x v="3"/>
    <x v="0"/>
    <x v="1"/>
    <x v="91"/>
    <x v="75"/>
  </r>
  <r>
    <x v="219"/>
    <x v="125"/>
    <x v="0"/>
    <x v="3"/>
    <x v="7"/>
    <x v="1"/>
    <x v="0"/>
    <x v="65"/>
    <x v="1"/>
    <x v="3"/>
    <x v="0"/>
    <x v="2"/>
    <x v="84"/>
    <x v="46"/>
  </r>
  <r>
    <x v="220"/>
    <x v="66"/>
    <x v="9"/>
    <x v="3"/>
    <x v="2"/>
    <x v="1"/>
    <x v="1"/>
    <x v="318"/>
    <x v="0"/>
    <x v="3"/>
    <x v="1"/>
    <x v="1"/>
    <x v="37"/>
    <x v="315"/>
  </r>
  <r>
    <x v="221"/>
    <x v="172"/>
    <x v="5"/>
    <x v="3"/>
    <x v="3"/>
    <x v="1"/>
    <x v="0"/>
    <x v="251"/>
    <x v="0"/>
    <x v="3"/>
    <x v="1"/>
    <x v="1"/>
    <x v="21"/>
    <x v="219"/>
  </r>
  <r>
    <x v="222"/>
    <x v="147"/>
    <x v="1"/>
    <x v="4"/>
    <x v="7"/>
    <x v="1"/>
    <x v="0"/>
    <x v="61"/>
    <x v="4"/>
    <x v="0"/>
    <x v="3"/>
    <x v="1"/>
    <x v="108"/>
    <x v="29"/>
  </r>
  <r>
    <x v="223"/>
    <x v="54"/>
    <x v="5"/>
    <x v="5"/>
    <x v="0"/>
    <x v="0"/>
    <x v="2"/>
    <x v="301"/>
    <x v="3"/>
    <x v="1"/>
    <x v="3"/>
    <x v="1"/>
    <x v="103"/>
    <x v="321"/>
  </r>
  <r>
    <x v="224"/>
    <x v="110"/>
    <x v="1"/>
    <x v="0"/>
    <x v="3"/>
    <x v="1"/>
    <x v="3"/>
    <x v="279"/>
    <x v="0"/>
    <x v="3"/>
    <x v="2"/>
    <x v="2"/>
    <x v="3"/>
    <x v="331"/>
  </r>
  <r>
    <x v="225"/>
    <x v="152"/>
    <x v="6"/>
    <x v="1"/>
    <x v="7"/>
    <x v="1"/>
    <x v="2"/>
    <x v="98"/>
    <x v="0"/>
    <x v="1"/>
    <x v="2"/>
    <x v="2"/>
    <x v="62"/>
    <x v="180"/>
  </r>
  <r>
    <x v="226"/>
    <x v="171"/>
    <x v="7"/>
    <x v="5"/>
    <x v="0"/>
    <x v="0"/>
    <x v="2"/>
    <x v="268"/>
    <x v="2"/>
    <x v="3"/>
    <x v="0"/>
    <x v="0"/>
    <x v="115"/>
    <x v="311"/>
  </r>
  <r>
    <x v="227"/>
    <x v="44"/>
    <x v="5"/>
    <x v="0"/>
    <x v="5"/>
    <x v="3"/>
    <x v="1"/>
    <x v="58"/>
    <x v="3"/>
    <x v="2"/>
    <x v="3"/>
    <x v="1"/>
    <x v="107"/>
    <x v="99"/>
  </r>
  <r>
    <x v="228"/>
    <x v="84"/>
    <x v="2"/>
    <x v="5"/>
    <x v="0"/>
    <x v="0"/>
    <x v="0"/>
    <x v="269"/>
    <x v="2"/>
    <x v="1"/>
    <x v="3"/>
    <x v="0"/>
    <x v="118"/>
    <x v="217"/>
  </r>
  <r>
    <x v="229"/>
    <x v="57"/>
    <x v="9"/>
    <x v="3"/>
    <x v="7"/>
    <x v="1"/>
    <x v="0"/>
    <x v="104"/>
    <x v="1"/>
    <x v="1"/>
    <x v="3"/>
    <x v="1"/>
    <x v="113"/>
    <x v="68"/>
  </r>
  <r>
    <x v="230"/>
    <x v="163"/>
    <x v="4"/>
    <x v="3"/>
    <x v="6"/>
    <x v="0"/>
    <x v="0"/>
    <x v="128"/>
    <x v="0"/>
    <x v="2"/>
    <x v="0"/>
    <x v="1"/>
    <x v="110"/>
    <x v="89"/>
  </r>
  <r>
    <x v="231"/>
    <x v="93"/>
    <x v="6"/>
    <x v="5"/>
    <x v="7"/>
    <x v="1"/>
    <x v="1"/>
    <x v="72"/>
    <x v="0"/>
    <x v="0"/>
    <x v="3"/>
    <x v="0"/>
    <x v="22"/>
    <x v="121"/>
  </r>
  <r>
    <x v="232"/>
    <x v="71"/>
    <x v="7"/>
    <x v="2"/>
    <x v="8"/>
    <x v="2"/>
    <x v="2"/>
    <x v="158"/>
    <x v="3"/>
    <x v="1"/>
    <x v="3"/>
    <x v="2"/>
    <x v="13"/>
    <x v="194"/>
  </r>
  <r>
    <x v="233"/>
    <x v="106"/>
    <x v="1"/>
    <x v="2"/>
    <x v="0"/>
    <x v="0"/>
    <x v="0"/>
    <x v="280"/>
    <x v="4"/>
    <x v="1"/>
    <x v="2"/>
    <x v="1"/>
    <x v="106"/>
    <x v="209"/>
  </r>
  <r>
    <x v="234"/>
    <x v="174"/>
    <x v="5"/>
    <x v="5"/>
    <x v="8"/>
    <x v="2"/>
    <x v="0"/>
    <x v="144"/>
    <x v="1"/>
    <x v="3"/>
    <x v="0"/>
    <x v="0"/>
    <x v="113"/>
    <x v="93"/>
  </r>
  <r>
    <x v="235"/>
    <x v="112"/>
    <x v="1"/>
    <x v="2"/>
    <x v="1"/>
    <x v="2"/>
    <x v="2"/>
    <x v="230"/>
    <x v="3"/>
    <x v="1"/>
    <x v="2"/>
    <x v="0"/>
    <x v="53"/>
    <x v="272"/>
  </r>
  <r>
    <x v="236"/>
    <x v="57"/>
    <x v="7"/>
    <x v="4"/>
    <x v="8"/>
    <x v="2"/>
    <x v="0"/>
    <x v="139"/>
    <x v="2"/>
    <x v="1"/>
    <x v="3"/>
    <x v="0"/>
    <x v="11"/>
    <x v="85"/>
  </r>
  <r>
    <x v="237"/>
    <x v="67"/>
    <x v="6"/>
    <x v="4"/>
    <x v="3"/>
    <x v="1"/>
    <x v="1"/>
    <x v="254"/>
    <x v="0"/>
    <x v="1"/>
    <x v="1"/>
    <x v="0"/>
    <x v="103"/>
    <x v="288"/>
  </r>
  <r>
    <x v="238"/>
    <x v="3"/>
    <x v="6"/>
    <x v="0"/>
    <x v="6"/>
    <x v="0"/>
    <x v="1"/>
    <x v="137"/>
    <x v="4"/>
    <x v="3"/>
    <x v="3"/>
    <x v="2"/>
    <x v="7"/>
    <x v="134"/>
  </r>
  <r>
    <x v="239"/>
    <x v="174"/>
    <x v="4"/>
    <x v="5"/>
    <x v="6"/>
    <x v="0"/>
    <x v="0"/>
    <x v="136"/>
    <x v="0"/>
    <x v="1"/>
    <x v="2"/>
    <x v="1"/>
    <x v="112"/>
    <x v="95"/>
  </r>
  <r>
    <x v="240"/>
    <x v="165"/>
    <x v="3"/>
    <x v="5"/>
    <x v="4"/>
    <x v="3"/>
    <x v="0"/>
    <x v="9"/>
    <x v="2"/>
    <x v="2"/>
    <x v="0"/>
    <x v="0"/>
    <x v="90"/>
    <x v="5"/>
  </r>
  <r>
    <x v="241"/>
    <x v="14"/>
    <x v="2"/>
    <x v="0"/>
    <x v="5"/>
    <x v="3"/>
    <x v="2"/>
    <x v="42"/>
    <x v="1"/>
    <x v="2"/>
    <x v="1"/>
    <x v="2"/>
    <x v="98"/>
    <x v="131"/>
  </r>
  <r>
    <x v="242"/>
    <x v="35"/>
    <x v="4"/>
    <x v="0"/>
    <x v="9"/>
    <x v="1"/>
    <x v="0"/>
    <x v="182"/>
    <x v="0"/>
    <x v="0"/>
    <x v="3"/>
    <x v="2"/>
    <x v="65"/>
    <x v="157"/>
  </r>
  <r>
    <x v="243"/>
    <x v="77"/>
    <x v="1"/>
    <x v="3"/>
    <x v="2"/>
    <x v="1"/>
    <x v="0"/>
    <x v="308"/>
    <x v="2"/>
    <x v="0"/>
    <x v="1"/>
    <x v="1"/>
    <x v="105"/>
    <x v="249"/>
  </r>
  <r>
    <x v="244"/>
    <x v="178"/>
    <x v="6"/>
    <x v="4"/>
    <x v="4"/>
    <x v="3"/>
    <x v="0"/>
    <x v="8"/>
    <x v="0"/>
    <x v="0"/>
    <x v="1"/>
    <x v="1"/>
    <x v="121"/>
    <x v="13"/>
  </r>
  <r>
    <x v="245"/>
    <x v="95"/>
    <x v="3"/>
    <x v="0"/>
    <x v="8"/>
    <x v="2"/>
    <x v="0"/>
    <x v="146"/>
    <x v="2"/>
    <x v="0"/>
    <x v="3"/>
    <x v="2"/>
    <x v="119"/>
    <x v="88"/>
  </r>
  <r>
    <x v="246"/>
    <x v="38"/>
    <x v="2"/>
    <x v="1"/>
    <x v="6"/>
    <x v="0"/>
    <x v="0"/>
    <x v="133"/>
    <x v="0"/>
    <x v="0"/>
    <x v="3"/>
    <x v="2"/>
    <x v="29"/>
    <x v="92"/>
  </r>
  <r>
    <x v="247"/>
    <x v="38"/>
    <x v="5"/>
    <x v="2"/>
    <x v="1"/>
    <x v="2"/>
    <x v="1"/>
    <x v="233"/>
    <x v="4"/>
    <x v="3"/>
    <x v="1"/>
    <x v="0"/>
    <x v="13"/>
    <x v="237"/>
  </r>
  <r>
    <x v="248"/>
    <x v="108"/>
    <x v="2"/>
    <x v="5"/>
    <x v="8"/>
    <x v="2"/>
    <x v="1"/>
    <x v="147"/>
    <x v="0"/>
    <x v="3"/>
    <x v="2"/>
    <x v="1"/>
    <x v="33"/>
    <x v="160"/>
  </r>
  <r>
    <x v="249"/>
    <x v="166"/>
    <x v="4"/>
    <x v="0"/>
    <x v="9"/>
    <x v="1"/>
    <x v="0"/>
    <x v="193"/>
    <x v="1"/>
    <x v="3"/>
    <x v="0"/>
    <x v="1"/>
    <x v="13"/>
    <x v="167"/>
  </r>
  <r>
    <x v="250"/>
    <x v="114"/>
    <x v="9"/>
    <x v="2"/>
    <x v="8"/>
    <x v="2"/>
    <x v="4"/>
    <x v="165"/>
    <x v="3"/>
    <x v="0"/>
    <x v="2"/>
    <x v="1"/>
    <x v="43"/>
    <x v="255"/>
  </r>
  <r>
    <x v="251"/>
    <x v="18"/>
    <x v="9"/>
    <x v="1"/>
    <x v="1"/>
    <x v="2"/>
    <x v="1"/>
    <x v="231"/>
    <x v="3"/>
    <x v="1"/>
    <x v="3"/>
    <x v="2"/>
    <x v="45"/>
    <x v="240"/>
  </r>
  <r>
    <x v="252"/>
    <x v="52"/>
    <x v="8"/>
    <x v="5"/>
    <x v="7"/>
    <x v="1"/>
    <x v="0"/>
    <x v="86"/>
    <x v="3"/>
    <x v="3"/>
    <x v="0"/>
    <x v="0"/>
    <x v="51"/>
    <x v="45"/>
  </r>
  <r>
    <x v="253"/>
    <x v="158"/>
    <x v="3"/>
    <x v="2"/>
    <x v="1"/>
    <x v="2"/>
    <x v="2"/>
    <x v="239"/>
    <x v="0"/>
    <x v="0"/>
    <x v="0"/>
    <x v="1"/>
    <x v="48"/>
    <x v="294"/>
  </r>
  <r>
    <x v="254"/>
    <x v="55"/>
    <x v="6"/>
    <x v="1"/>
    <x v="7"/>
    <x v="1"/>
    <x v="0"/>
    <x v="102"/>
    <x v="3"/>
    <x v="1"/>
    <x v="0"/>
    <x v="2"/>
    <x v="51"/>
    <x v="54"/>
  </r>
  <r>
    <x v="255"/>
    <x v="80"/>
    <x v="7"/>
    <x v="5"/>
    <x v="2"/>
    <x v="1"/>
    <x v="1"/>
    <x v="312"/>
    <x v="3"/>
    <x v="3"/>
    <x v="1"/>
    <x v="1"/>
    <x v="44"/>
    <x v="299"/>
  </r>
  <r>
    <x v="256"/>
    <x v="144"/>
    <x v="7"/>
    <x v="3"/>
    <x v="7"/>
    <x v="1"/>
    <x v="0"/>
    <x v="69"/>
    <x v="4"/>
    <x v="1"/>
    <x v="1"/>
    <x v="1"/>
    <x v="92"/>
    <x v="31"/>
  </r>
  <r>
    <x v="257"/>
    <x v="108"/>
    <x v="9"/>
    <x v="0"/>
    <x v="7"/>
    <x v="1"/>
    <x v="0"/>
    <x v="90"/>
    <x v="2"/>
    <x v="1"/>
    <x v="3"/>
    <x v="1"/>
    <x v="97"/>
    <x v="53"/>
  </r>
  <r>
    <x v="258"/>
    <x v="91"/>
    <x v="7"/>
    <x v="2"/>
    <x v="9"/>
    <x v="1"/>
    <x v="2"/>
    <x v="194"/>
    <x v="0"/>
    <x v="3"/>
    <x v="0"/>
    <x v="2"/>
    <x v="61"/>
    <x v="274"/>
  </r>
  <r>
    <x v="259"/>
    <x v="157"/>
    <x v="2"/>
    <x v="1"/>
    <x v="1"/>
    <x v="2"/>
    <x v="3"/>
    <x v="201"/>
    <x v="0"/>
    <x v="3"/>
    <x v="0"/>
    <x v="1"/>
    <x v="121"/>
    <x v="298"/>
  </r>
  <r>
    <x v="260"/>
    <x v="13"/>
    <x v="7"/>
    <x v="5"/>
    <x v="2"/>
    <x v="1"/>
    <x v="0"/>
    <x v="309"/>
    <x v="0"/>
    <x v="3"/>
    <x v="3"/>
    <x v="1"/>
    <x v="5"/>
    <x v="259"/>
  </r>
  <r>
    <x v="261"/>
    <x v="60"/>
    <x v="4"/>
    <x v="3"/>
    <x v="7"/>
    <x v="1"/>
    <x v="1"/>
    <x v="87"/>
    <x v="0"/>
    <x v="1"/>
    <x v="1"/>
    <x v="1"/>
    <x v="106"/>
    <x v="129"/>
  </r>
  <r>
    <x v="262"/>
    <x v="25"/>
    <x v="7"/>
    <x v="1"/>
    <x v="0"/>
    <x v="0"/>
    <x v="1"/>
    <x v="298"/>
    <x v="4"/>
    <x v="1"/>
    <x v="0"/>
    <x v="1"/>
    <x v="84"/>
    <x v="289"/>
  </r>
  <r>
    <x v="263"/>
    <x v="20"/>
    <x v="6"/>
    <x v="2"/>
    <x v="7"/>
    <x v="1"/>
    <x v="3"/>
    <x v="67"/>
    <x v="0"/>
    <x v="1"/>
    <x v="0"/>
    <x v="1"/>
    <x v="64"/>
    <x v="189"/>
  </r>
  <r>
    <x v="264"/>
    <x v="98"/>
    <x v="5"/>
    <x v="0"/>
    <x v="6"/>
    <x v="0"/>
    <x v="3"/>
    <x v="122"/>
    <x v="3"/>
    <x v="0"/>
    <x v="0"/>
    <x v="1"/>
    <x v="101"/>
    <x v="199"/>
  </r>
  <r>
    <x v="265"/>
    <x v="24"/>
    <x v="1"/>
    <x v="1"/>
    <x v="1"/>
    <x v="2"/>
    <x v="2"/>
    <x v="212"/>
    <x v="0"/>
    <x v="3"/>
    <x v="3"/>
    <x v="1"/>
    <x v="115"/>
    <x v="278"/>
  </r>
  <r>
    <x v="266"/>
    <x v="15"/>
    <x v="5"/>
    <x v="4"/>
    <x v="9"/>
    <x v="1"/>
    <x v="2"/>
    <x v="173"/>
    <x v="0"/>
    <x v="1"/>
    <x v="0"/>
    <x v="2"/>
    <x v="10"/>
    <x v="261"/>
  </r>
  <r>
    <x v="267"/>
    <x v="122"/>
    <x v="4"/>
    <x v="5"/>
    <x v="8"/>
    <x v="2"/>
    <x v="0"/>
    <x v="152"/>
    <x v="0"/>
    <x v="2"/>
    <x v="0"/>
    <x v="1"/>
    <x v="68"/>
    <x v="106"/>
  </r>
  <r>
    <x v="268"/>
    <x v="149"/>
    <x v="3"/>
    <x v="3"/>
    <x v="8"/>
    <x v="2"/>
    <x v="2"/>
    <x v="170"/>
    <x v="4"/>
    <x v="0"/>
    <x v="2"/>
    <x v="1"/>
    <x v="44"/>
    <x v="195"/>
  </r>
  <r>
    <x v="269"/>
    <x v="110"/>
    <x v="9"/>
    <x v="1"/>
    <x v="5"/>
    <x v="3"/>
    <x v="0"/>
    <x v="43"/>
    <x v="2"/>
    <x v="1"/>
    <x v="3"/>
    <x v="0"/>
    <x v="117"/>
    <x v="24"/>
  </r>
  <r>
    <x v="270"/>
    <x v="74"/>
    <x v="8"/>
    <x v="0"/>
    <x v="2"/>
    <x v="1"/>
    <x v="4"/>
    <x v="331"/>
    <x v="0"/>
    <x v="3"/>
    <x v="0"/>
    <x v="0"/>
    <x v="81"/>
    <x v="334"/>
  </r>
  <r>
    <x v="271"/>
    <x v="3"/>
    <x v="0"/>
    <x v="1"/>
    <x v="5"/>
    <x v="3"/>
    <x v="0"/>
    <x v="56"/>
    <x v="1"/>
    <x v="0"/>
    <x v="0"/>
    <x v="1"/>
    <x v="74"/>
    <x v="35"/>
  </r>
  <r>
    <x v="272"/>
    <x v="22"/>
    <x v="9"/>
    <x v="2"/>
    <x v="5"/>
    <x v="3"/>
    <x v="4"/>
    <x v="44"/>
    <x v="0"/>
    <x v="1"/>
    <x v="3"/>
    <x v="1"/>
    <x v="118"/>
    <x v="191"/>
  </r>
  <r>
    <x v="273"/>
    <x v="39"/>
    <x v="6"/>
    <x v="1"/>
    <x v="6"/>
    <x v="0"/>
    <x v="4"/>
    <x v="110"/>
    <x v="4"/>
    <x v="3"/>
    <x v="0"/>
    <x v="0"/>
    <x v="36"/>
    <x v="202"/>
  </r>
  <r>
    <x v="274"/>
    <x v="110"/>
    <x v="5"/>
    <x v="4"/>
    <x v="0"/>
    <x v="0"/>
    <x v="1"/>
    <x v="271"/>
    <x v="3"/>
    <x v="0"/>
    <x v="2"/>
    <x v="1"/>
    <x v="19"/>
    <x v="280"/>
  </r>
  <r>
    <x v="275"/>
    <x v="54"/>
    <x v="4"/>
    <x v="0"/>
    <x v="4"/>
    <x v="3"/>
    <x v="0"/>
    <x v="31"/>
    <x v="0"/>
    <x v="1"/>
    <x v="3"/>
    <x v="0"/>
    <x v="24"/>
    <x v="16"/>
  </r>
  <r>
    <x v="276"/>
    <x v="78"/>
    <x v="9"/>
    <x v="4"/>
    <x v="1"/>
    <x v="2"/>
    <x v="0"/>
    <x v="227"/>
    <x v="0"/>
    <x v="2"/>
    <x v="0"/>
    <x v="2"/>
    <x v="63"/>
    <x v="188"/>
  </r>
  <r>
    <x v="277"/>
    <x v="13"/>
    <x v="5"/>
    <x v="0"/>
    <x v="4"/>
    <x v="3"/>
    <x v="2"/>
    <x v="20"/>
    <x v="0"/>
    <x v="1"/>
    <x v="2"/>
    <x v="1"/>
    <x v="4"/>
    <x v="103"/>
  </r>
  <r>
    <x v="278"/>
    <x v="68"/>
    <x v="7"/>
    <x v="4"/>
    <x v="5"/>
    <x v="3"/>
    <x v="0"/>
    <x v="39"/>
    <x v="2"/>
    <x v="1"/>
    <x v="0"/>
    <x v="1"/>
    <x v="22"/>
    <x v="21"/>
  </r>
  <r>
    <x v="279"/>
    <x v="5"/>
    <x v="8"/>
    <x v="0"/>
    <x v="7"/>
    <x v="1"/>
    <x v="2"/>
    <x v="70"/>
    <x v="0"/>
    <x v="3"/>
    <x v="2"/>
    <x v="1"/>
    <x v="43"/>
    <x v="154"/>
  </r>
  <r>
    <x v="280"/>
    <x v="30"/>
    <x v="4"/>
    <x v="0"/>
    <x v="2"/>
    <x v="1"/>
    <x v="1"/>
    <x v="329"/>
    <x v="3"/>
    <x v="3"/>
    <x v="1"/>
    <x v="1"/>
    <x v="45"/>
    <x v="307"/>
  </r>
  <r>
    <x v="281"/>
    <x v="17"/>
    <x v="1"/>
    <x v="4"/>
    <x v="1"/>
    <x v="2"/>
    <x v="0"/>
    <x v="238"/>
    <x v="4"/>
    <x v="3"/>
    <x v="3"/>
    <x v="1"/>
    <x v="101"/>
    <x v="172"/>
  </r>
  <r>
    <x v="282"/>
    <x v="80"/>
    <x v="9"/>
    <x v="3"/>
    <x v="0"/>
    <x v="0"/>
    <x v="1"/>
    <x v="276"/>
    <x v="1"/>
    <x v="1"/>
    <x v="0"/>
    <x v="1"/>
    <x v="84"/>
    <x v="290"/>
  </r>
  <r>
    <x v="283"/>
    <x v="171"/>
    <x v="4"/>
    <x v="3"/>
    <x v="4"/>
    <x v="3"/>
    <x v="1"/>
    <x v="29"/>
    <x v="1"/>
    <x v="1"/>
    <x v="3"/>
    <x v="1"/>
    <x v="73"/>
    <x v="59"/>
  </r>
  <r>
    <x v="284"/>
    <x v="7"/>
    <x v="5"/>
    <x v="4"/>
    <x v="5"/>
    <x v="3"/>
    <x v="0"/>
    <x v="60"/>
    <x v="2"/>
    <x v="3"/>
    <x v="2"/>
    <x v="2"/>
    <x v="32"/>
    <x v="33"/>
  </r>
  <r>
    <x v="285"/>
    <x v="122"/>
    <x v="8"/>
    <x v="2"/>
    <x v="1"/>
    <x v="2"/>
    <x v="0"/>
    <x v="208"/>
    <x v="4"/>
    <x v="0"/>
    <x v="0"/>
    <x v="0"/>
    <x v="25"/>
    <x v="145"/>
  </r>
  <r>
    <x v="286"/>
    <x v="89"/>
    <x v="4"/>
    <x v="0"/>
    <x v="5"/>
    <x v="3"/>
    <x v="0"/>
    <x v="49"/>
    <x v="3"/>
    <x v="1"/>
    <x v="2"/>
    <x v="1"/>
    <x v="121"/>
    <x v="23"/>
  </r>
  <r>
    <x v="287"/>
    <x v="145"/>
    <x v="6"/>
    <x v="0"/>
    <x v="8"/>
    <x v="2"/>
    <x v="1"/>
    <x v="171"/>
    <x v="0"/>
    <x v="0"/>
    <x v="2"/>
    <x v="1"/>
    <x v="101"/>
    <x v="184"/>
  </r>
  <r>
    <x v="288"/>
    <x v="72"/>
    <x v="2"/>
    <x v="3"/>
    <x v="1"/>
    <x v="2"/>
    <x v="3"/>
    <x v="229"/>
    <x v="0"/>
    <x v="3"/>
    <x v="0"/>
    <x v="2"/>
    <x v="45"/>
    <x v="305"/>
  </r>
  <r>
    <x v="289"/>
    <x v="184"/>
    <x v="0"/>
    <x v="6"/>
    <x v="9"/>
    <x v="1"/>
    <x v="0"/>
    <x v="177"/>
    <x v="2"/>
    <x v="1"/>
    <x v="1"/>
    <x v="2"/>
    <x v="110"/>
    <x v="140"/>
  </r>
  <r>
    <x v="290"/>
    <x v="124"/>
    <x v="0"/>
    <x v="0"/>
    <x v="3"/>
    <x v="1"/>
    <x v="3"/>
    <x v="270"/>
    <x v="2"/>
    <x v="1"/>
    <x v="0"/>
    <x v="1"/>
    <x v="116"/>
    <x v="325"/>
  </r>
  <r>
    <x v="291"/>
    <x v="147"/>
    <x v="4"/>
    <x v="3"/>
    <x v="7"/>
    <x v="1"/>
    <x v="0"/>
    <x v="105"/>
    <x v="0"/>
    <x v="0"/>
    <x v="1"/>
    <x v="0"/>
    <x v="63"/>
    <x v="72"/>
  </r>
  <r>
    <x v="292"/>
    <x v="121"/>
    <x v="2"/>
    <x v="1"/>
    <x v="0"/>
    <x v="0"/>
    <x v="2"/>
    <x v="304"/>
    <x v="2"/>
    <x v="0"/>
    <x v="1"/>
    <x v="1"/>
    <x v="67"/>
    <x v="322"/>
  </r>
  <r>
    <x v="293"/>
    <x v="50"/>
    <x v="0"/>
    <x v="1"/>
    <x v="0"/>
    <x v="0"/>
    <x v="0"/>
    <x v="293"/>
    <x v="2"/>
    <x v="3"/>
    <x v="0"/>
    <x v="1"/>
    <x v="69"/>
    <x v="238"/>
  </r>
  <r>
    <x v="294"/>
    <x v="84"/>
    <x v="4"/>
    <x v="4"/>
    <x v="2"/>
    <x v="1"/>
    <x v="0"/>
    <x v="325"/>
    <x v="0"/>
    <x v="0"/>
    <x v="0"/>
    <x v="0"/>
    <x v="82"/>
    <x v="266"/>
  </r>
  <r>
    <x v="295"/>
    <x v="36"/>
    <x v="3"/>
    <x v="2"/>
    <x v="1"/>
    <x v="2"/>
    <x v="4"/>
    <x v="206"/>
    <x v="0"/>
    <x v="1"/>
    <x v="1"/>
    <x v="1"/>
    <x v="38"/>
    <x v="314"/>
  </r>
  <r>
    <x v="296"/>
    <x v="0"/>
    <x v="7"/>
    <x v="4"/>
    <x v="1"/>
    <x v="2"/>
    <x v="0"/>
    <x v="200"/>
    <x v="3"/>
    <x v="3"/>
    <x v="1"/>
    <x v="1"/>
    <x v="8"/>
    <x v="153"/>
  </r>
  <r>
    <x v="297"/>
    <x v="140"/>
    <x v="3"/>
    <x v="5"/>
    <x v="6"/>
    <x v="0"/>
    <x v="2"/>
    <x v="115"/>
    <x v="3"/>
    <x v="1"/>
    <x v="1"/>
    <x v="1"/>
    <x v="19"/>
    <x v="170"/>
  </r>
  <r>
    <x v="298"/>
    <x v="8"/>
    <x v="9"/>
    <x v="2"/>
    <x v="7"/>
    <x v="1"/>
    <x v="2"/>
    <x v="63"/>
    <x v="0"/>
    <x v="0"/>
    <x v="1"/>
    <x v="1"/>
    <x v="119"/>
    <x v="152"/>
  </r>
  <r>
    <x v="299"/>
    <x v="38"/>
    <x v="1"/>
    <x v="5"/>
    <x v="3"/>
    <x v="1"/>
    <x v="1"/>
    <x v="255"/>
    <x v="1"/>
    <x v="2"/>
    <x v="3"/>
    <x v="1"/>
    <x v="65"/>
    <x v="284"/>
  </r>
  <r>
    <x v="300"/>
    <x v="41"/>
    <x v="8"/>
    <x v="0"/>
    <x v="2"/>
    <x v="1"/>
    <x v="2"/>
    <x v="306"/>
    <x v="1"/>
    <x v="0"/>
    <x v="2"/>
    <x v="1"/>
    <x v="98"/>
    <x v="324"/>
  </r>
  <r>
    <x v="301"/>
    <x v="175"/>
    <x v="0"/>
    <x v="3"/>
    <x v="8"/>
    <x v="2"/>
    <x v="0"/>
    <x v="150"/>
    <x v="0"/>
    <x v="3"/>
    <x v="0"/>
    <x v="1"/>
    <x v="97"/>
    <x v="105"/>
  </r>
  <r>
    <x v="302"/>
    <x v="77"/>
    <x v="9"/>
    <x v="2"/>
    <x v="2"/>
    <x v="1"/>
    <x v="1"/>
    <x v="303"/>
    <x v="1"/>
    <x v="2"/>
    <x v="2"/>
    <x v="1"/>
    <x v="4"/>
    <x v="301"/>
  </r>
  <r>
    <x v="303"/>
    <x v="37"/>
    <x v="7"/>
    <x v="0"/>
    <x v="6"/>
    <x v="0"/>
    <x v="1"/>
    <x v="126"/>
    <x v="0"/>
    <x v="3"/>
    <x v="2"/>
    <x v="0"/>
    <x v="70"/>
    <x v="146"/>
  </r>
  <r>
    <x v="304"/>
    <x v="99"/>
    <x v="9"/>
    <x v="5"/>
    <x v="6"/>
    <x v="0"/>
    <x v="0"/>
    <x v="119"/>
    <x v="0"/>
    <x v="1"/>
    <x v="0"/>
    <x v="1"/>
    <x v="121"/>
    <x v="82"/>
  </r>
  <r>
    <x v="305"/>
    <x v="87"/>
    <x v="0"/>
    <x v="4"/>
    <x v="1"/>
    <x v="2"/>
    <x v="2"/>
    <x v="220"/>
    <x v="4"/>
    <x v="3"/>
    <x v="3"/>
    <x v="0"/>
    <x v="82"/>
    <x v="263"/>
  </r>
  <r>
    <x v="306"/>
    <x v="11"/>
    <x v="1"/>
    <x v="5"/>
    <x v="6"/>
    <x v="0"/>
    <x v="0"/>
    <x v="117"/>
    <x v="4"/>
    <x v="1"/>
    <x v="0"/>
    <x v="0"/>
    <x v="18"/>
    <x v="63"/>
  </r>
  <r>
    <x v="307"/>
    <x v="79"/>
    <x v="6"/>
    <x v="2"/>
    <x v="3"/>
    <x v="1"/>
    <x v="3"/>
    <x v="264"/>
    <x v="1"/>
    <x v="2"/>
    <x v="3"/>
    <x v="1"/>
    <x v="73"/>
    <x v="329"/>
  </r>
  <r>
    <x v="308"/>
    <x v="26"/>
    <x v="7"/>
    <x v="5"/>
    <x v="3"/>
    <x v="1"/>
    <x v="2"/>
    <x v="246"/>
    <x v="1"/>
    <x v="0"/>
    <x v="2"/>
    <x v="1"/>
    <x v="21"/>
    <x v="306"/>
  </r>
  <r>
    <x v="309"/>
    <x v="182"/>
    <x v="4"/>
    <x v="4"/>
    <x v="9"/>
    <x v="1"/>
    <x v="2"/>
    <x v="187"/>
    <x v="0"/>
    <x v="1"/>
    <x v="0"/>
    <x v="2"/>
    <x v="49"/>
    <x v="269"/>
  </r>
  <r>
    <x v="310"/>
    <x v="130"/>
    <x v="9"/>
    <x v="4"/>
    <x v="2"/>
    <x v="1"/>
    <x v="2"/>
    <x v="323"/>
    <x v="3"/>
    <x v="3"/>
    <x v="3"/>
    <x v="2"/>
    <x v="1"/>
    <x v="327"/>
  </r>
  <r>
    <x v="311"/>
    <x v="149"/>
    <x v="7"/>
    <x v="3"/>
    <x v="3"/>
    <x v="1"/>
    <x v="0"/>
    <x v="243"/>
    <x v="3"/>
    <x v="1"/>
    <x v="0"/>
    <x v="1"/>
    <x v="26"/>
    <x v="198"/>
  </r>
  <r>
    <x v="312"/>
    <x v="115"/>
    <x v="9"/>
    <x v="4"/>
    <x v="4"/>
    <x v="3"/>
    <x v="2"/>
    <x v="2"/>
    <x v="4"/>
    <x v="2"/>
    <x v="1"/>
    <x v="1"/>
    <x v="121"/>
    <x v="62"/>
  </r>
  <r>
    <x v="313"/>
    <x v="123"/>
    <x v="7"/>
    <x v="5"/>
    <x v="4"/>
    <x v="3"/>
    <x v="4"/>
    <x v="13"/>
    <x v="3"/>
    <x v="2"/>
    <x v="1"/>
    <x v="1"/>
    <x v="17"/>
    <x v="123"/>
  </r>
  <r>
    <x v="314"/>
    <x v="173"/>
    <x v="5"/>
    <x v="2"/>
    <x v="8"/>
    <x v="2"/>
    <x v="3"/>
    <x v="151"/>
    <x v="2"/>
    <x v="1"/>
    <x v="0"/>
    <x v="0"/>
    <x v="102"/>
    <x v="218"/>
  </r>
  <r>
    <x v="315"/>
    <x v="183"/>
    <x v="0"/>
    <x v="0"/>
    <x v="5"/>
    <x v="3"/>
    <x v="0"/>
    <x v="53"/>
    <x v="0"/>
    <x v="1"/>
    <x v="0"/>
    <x v="0"/>
    <x v="85"/>
    <x v="37"/>
  </r>
  <r>
    <x v="316"/>
    <x v="190"/>
    <x v="5"/>
    <x v="4"/>
    <x v="9"/>
    <x v="1"/>
    <x v="0"/>
    <x v="205"/>
    <x v="2"/>
    <x v="3"/>
    <x v="0"/>
    <x v="1"/>
    <x v="101"/>
    <x v="161"/>
  </r>
  <r>
    <x v="317"/>
    <x v="69"/>
    <x v="1"/>
    <x v="5"/>
    <x v="8"/>
    <x v="2"/>
    <x v="0"/>
    <x v="156"/>
    <x v="0"/>
    <x v="0"/>
    <x v="1"/>
    <x v="2"/>
    <x v="88"/>
    <x v="116"/>
  </r>
  <r>
    <x v="318"/>
    <x v="63"/>
    <x v="8"/>
    <x v="0"/>
    <x v="7"/>
    <x v="1"/>
    <x v="0"/>
    <x v="80"/>
    <x v="3"/>
    <x v="1"/>
    <x v="1"/>
    <x v="0"/>
    <x v="121"/>
    <x v="41"/>
  </r>
  <r>
    <x v="319"/>
    <x v="3"/>
    <x v="6"/>
    <x v="6"/>
    <x v="0"/>
    <x v="0"/>
    <x v="1"/>
    <x v="302"/>
    <x v="0"/>
    <x v="2"/>
    <x v="1"/>
    <x v="2"/>
    <x v="86"/>
    <x v="303"/>
  </r>
  <r>
    <x v="320"/>
    <x v="104"/>
    <x v="7"/>
    <x v="3"/>
    <x v="2"/>
    <x v="1"/>
    <x v="2"/>
    <x v="310"/>
    <x v="1"/>
    <x v="0"/>
    <x v="1"/>
    <x v="2"/>
    <x v="24"/>
    <x v="326"/>
  </r>
  <r>
    <x v="321"/>
    <x v="148"/>
    <x v="4"/>
    <x v="2"/>
    <x v="4"/>
    <x v="3"/>
    <x v="1"/>
    <x v="25"/>
    <x v="2"/>
    <x v="0"/>
    <x v="2"/>
    <x v="0"/>
    <x v="98"/>
    <x v="51"/>
  </r>
  <r>
    <x v="322"/>
    <x v="105"/>
    <x v="9"/>
    <x v="3"/>
    <x v="7"/>
    <x v="1"/>
    <x v="1"/>
    <x v="77"/>
    <x v="3"/>
    <x v="0"/>
    <x v="1"/>
    <x v="1"/>
    <x v="60"/>
    <x v="119"/>
  </r>
  <r>
    <x v="323"/>
    <x v="150"/>
    <x v="6"/>
    <x v="6"/>
    <x v="5"/>
    <x v="3"/>
    <x v="2"/>
    <x v="40"/>
    <x v="0"/>
    <x v="3"/>
    <x v="2"/>
    <x v="1"/>
    <x v="88"/>
    <x v="133"/>
  </r>
  <r>
    <x v="324"/>
    <x v="190"/>
    <x v="8"/>
    <x v="1"/>
    <x v="0"/>
    <x v="0"/>
    <x v="0"/>
    <x v="295"/>
    <x v="2"/>
    <x v="3"/>
    <x v="2"/>
    <x v="1"/>
    <x v="34"/>
    <x v="241"/>
  </r>
  <r>
    <x v="325"/>
    <x v="70"/>
    <x v="4"/>
    <x v="4"/>
    <x v="4"/>
    <x v="3"/>
    <x v="2"/>
    <x v="26"/>
    <x v="0"/>
    <x v="0"/>
    <x v="1"/>
    <x v="1"/>
    <x v="108"/>
    <x v="110"/>
  </r>
  <r>
    <x v="326"/>
    <x v="116"/>
    <x v="5"/>
    <x v="3"/>
    <x v="7"/>
    <x v="1"/>
    <x v="0"/>
    <x v="73"/>
    <x v="0"/>
    <x v="0"/>
    <x v="3"/>
    <x v="2"/>
    <x v="53"/>
    <x v="57"/>
  </r>
  <r>
    <x v="327"/>
    <x v="28"/>
    <x v="8"/>
    <x v="5"/>
    <x v="6"/>
    <x v="0"/>
    <x v="0"/>
    <x v="125"/>
    <x v="0"/>
    <x v="3"/>
    <x v="2"/>
    <x v="0"/>
    <x v="8"/>
    <x v="87"/>
  </r>
  <r>
    <x v="328"/>
    <x v="75"/>
    <x v="7"/>
    <x v="5"/>
    <x v="9"/>
    <x v="1"/>
    <x v="2"/>
    <x v="175"/>
    <x v="1"/>
    <x v="1"/>
    <x v="2"/>
    <x v="1"/>
    <x v="69"/>
    <x v="260"/>
  </r>
  <r>
    <x v="329"/>
    <x v="69"/>
    <x v="0"/>
    <x v="2"/>
    <x v="7"/>
    <x v="1"/>
    <x v="1"/>
    <x v="91"/>
    <x v="1"/>
    <x v="0"/>
    <x v="1"/>
    <x v="1"/>
    <x v="66"/>
    <x v="126"/>
  </r>
  <r>
    <x v="330"/>
    <x v="36"/>
    <x v="1"/>
    <x v="4"/>
    <x v="2"/>
    <x v="1"/>
    <x v="2"/>
    <x v="313"/>
    <x v="3"/>
    <x v="3"/>
    <x v="3"/>
    <x v="1"/>
    <x v="13"/>
    <x v="323"/>
  </r>
  <r>
    <x v="331"/>
    <x v="75"/>
    <x v="0"/>
    <x v="3"/>
    <x v="6"/>
    <x v="0"/>
    <x v="0"/>
    <x v="107"/>
    <x v="4"/>
    <x v="1"/>
    <x v="0"/>
    <x v="1"/>
    <x v="40"/>
    <x v="50"/>
  </r>
  <r>
    <x v="332"/>
    <x v="118"/>
    <x v="4"/>
    <x v="4"/>
    <x v="8"/>
    <x v="2"/>
    <x v="0"/>
    <x v="164"/>
    <x v="2"/>
    <x v="0"/>
    <x v="1"/>
    <x v="1"/>
    <x v="37"/>
    <x v="107"/>
  </r>
  <r>
    <x v="333"/>
    <x v="181"/>
    <x v="2"/>
    <x v="3"/>
    <x v="9"/>
    <x v="1"/>
    <x v="0"/>
    <x v="179"/>
    <x v="1"/>
    <x v="1"/>
    <x v="2"/>
    <x v="0"/>
    <x v="30"/>
    <x v="149"/>
  </r>
  <r>
    <x v="334"/>
    <x v="150"/>
    <x v="8"/>
    <x v="0"/>
    <x v="1"/>
    <x v="2"/>
    <x v="1"/>
    <x v="204"/>
    <x v="3"/>
    <x v="1"/>
    <x v="1"/>
    <x v="1"/>
    <x v="80"/>
    <x v="2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itemPrintTitles="1" indent="0" outline="1" outlineData="1">
  <location ref="A3:B14" firstHeaderRow="1" firstDataRow="1" firstDataCol="1" rowPageCount="1" colPageCount="1"/>
  <pivotFields count="14"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4">
        <item h="1" x="0"/>
        <item x="1"/>
        <item h="1" x="2"/>
        <item t="default"/>
      </items>
    </pivotField>
    <pivotField showAll="0"/>
    <pivotField dataField="1" showAll="0"/>
  </pivotFields>
  <rowFields count="1">
    <field x="4"/>
  </rowFields>
  <pageFields count="1">
    <pageField fld="11" hier="-1"/>
  </pageFields>
  <dataFields count="1">
    <dataField name="Sum of Net_Sales_EGP" fld="13" numFmtId="4"/>
  </dataFields>
  <pivotTableStyleInfo name="PivotStyleLight17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itemPrintTitles="1" indent="0" outline="1" outlineData="1">
  <location ref="A3:B11" firstHeaderRow="1" firstDataRow="1" firstDataCol="1" rowPageCount="1" colPageCount="1"/>
  <pivotFields count="14"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h="1" x="0"/>
        <item x="1"/>
        <item h="1" x="2"/>
        <item t="default"/>
      </items>
    </pivotField>
    <pivotField showAll="0"/>
    <pivotField dataField="1" showAll="0"/>
  </pivotFields>
  <rowFields count="1">
    <field x="3"/>
  </rowFields>
  <pageFields count="1">
    <pageField fld="11" hier="-1"/>
  </pageFields>
  <dataFields count="1">
    <dataField name="Sum of Net_Sales_EGP" fld="13" numFmtId="4"/>
  </dataFields>
  <pivotTableStyleInfo name="PivotStyleLight17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0" dataCaption="Values" itemPrintTitles="1" indent="0" outline="1" outlineData="1">
  <location ref="A3:B8" firstHeaderRow="1" firstDataRow="1" firstDataCol="1" rowPageCount="1" colPageCount="1"/>
  <pivotFields count="14"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4">
        <item h="1" x="0"/>
        <item x="1"/>
        <item h="1" x="2"/>
        <item t="default"/>
      </items>
    </pivotField>
    <pivotField showAll="0"/>
    <pivotField dataField="1" showAll="0"/>
  </pivotFields>
  <rowFields count="1">
    <field x="5"/>
  </rowFields>
  <pageFields count="1">
    <pageField fld="11" hier="-1"/>
  </pageFields>
  <dataFields count="1">
    <dataField name="Sum of Net_Sales_EGP" fld="13" numFmtId="4"/>
  </dataFields>
  <pivotTableStyleInfo name="PivotStyleLight17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0" dataCaption="Values" itemPrintTitles="1" indent="0" outline="1" outlineData="1">
  <location ref="A3:B8" firstHeaderRow="1" firstDataRow="1" firstDataCol="1" rowPageCount="1" colPageCount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Page" showAll="0">
      <items count="4">
        <item h="1" x="0"/>
        <item x="1"/>
        <item h="1" x="2"/>
        <item t="default"/>
      </items>
    </pivotField>
    <pivotField showAll="0"/>
    <pivotField dataField="1" showAll="0"/>
  </pivotFields>
  <rowFields count="1">
    <field x="9"/>
  </rowFields>
  <pageFields count="1">
    <pageField fld="11" hier="-1"/>
  </pageFields>
  <dataFields count="1">
    <dataField name="Sum of Net_Sales_EGP" fld="13" numFmtId="4"/>
  </dataFields>
  <pivotTableStyleInfo name="PivotStyleLight17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0" dataCaption="Values" itemPrintTitles="1" indent="0" outline="1" outlineData="1">
  <location ref="A3:B7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1"/>
  </rowFields>
  <dataFields count="1">
    <dataField name="Count of Order_ID" fld="0" subtotal="count"/>
  </dataFields>
  <pivotTableStyleInfo name="PivotStyleLight17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7F7F"/>
  </sheetPr>
  <dimension ref="A1:E82"/>
  <sheetViews>
    <sheetView showGridLines="0" zoomScaleNormal="100" workbookViewId="0">
      <selection activeCell="B5" sqref="B5"/>
    </sheetView>
  </sheetViews>
  <sheetFormatPr defaultColWidth="8.6640625" defaultRowHeight="14.4" x14ac:dyDescent="0.3"/>
  <cols>
    <col min="1" max="1" width="40" customWidth="1"/>
    <col min="2" max="5" width="18" customWidth="1"/>
  </cols>
  <sheetData>
    <row r="1" spans="1:3" ht="15.6" x14ac:dyDescent="0.3">
      <c r="A1" s="1" t="s">
        <v>0</v>
      </c>
    </row>
    <row r="3" spans="1:3" x14ac:dyDescent="0.3">
      <c r="A3" s="2" t="s">
        <v>1</v>
      </c>
    </row>
    <row r="4" spans="1:3" ht="28.2" x14ac:dyDescent="0.3">
      <c r="A4" s="3" t="s">
        <v>2</v>
      </c>
      <c r="B4" s="3" t="s">
        <v>3</v>
      </c>
      <c r="C4" s="3" t="s">
        <v>4</v>
      </c>
    </row>
    <row r="5" spans="1:3" x14ac:dyDescent="0.3">
      <c r="A5" s="4" t="s">
        <v>5</v>
      </c>
      <c r="B5" s="5">
        <f>SUMIFS(Cleaned_Data!$N:$N,Cleaned_Data!$E:$E,$A5,Cleaned_Data!$L:$L,"Completed")</f>
        <v>32058.496000000006</v>
      </c>
      <c r="C5" s="5">
        <f>COUNTIFS(Cleaned_Data!$E:$E,$A5,Cleaned_Data!$L:$L,"Completed")</f>
        <v>17</v>
      </c>
    </row>
    <row r="6" spans="1:3" x14ac:dyDescent="0.3">
      <c r="A6" s="4" t="s">
        <v>6</v>
      </c>
      <c r="B6" s="5">
        <f>SUMIFS(Cleaned_Data!$N:$N,Cleaned_Data!$E:$E,$A6,Cleaned_Data!$L:$L,"Completed")</f>
        <v>29689.490999999998</v>
      </c>
      <c r="C6" s="5">
        <f>COUNTIFS(Cleaned_Data!$E:$E,$A6,Cleaned_Data!$L:$L,"Completed")</f>
        <v>27</v>
      </c>
    </row>
    <row r="7" spans="1:3" x14ac:dyDescent="0.3">
      <c r="A7" s="4" t="s">
        <v>7</v>
      </c>
      <c r="B7" s="5">
        <f>SUMIFS(Cleaned_Data!$N:$N,Cleaned_Data!$E:$E,$A7,Cleaned_Data!$L:$L,"Completed")</f>
        <v>21851.7935</v>
      </c>
      <c r="C7" s="5">
        <f>COUNTIFS(Cleaned_Data!$E:$E,$A7,Cleaned_Data!$L:$L,"Completed")</f>
        <v>27</v>
      </c>
    </row>
    <row r="8" spans="1:3" x14ac:dyDescent="0.3">
      <c r="A8" s="4" t="s">
        <v>8</v>
      </c>
      <c r="B8" s="5">
        <f>SUMIFS(Cleaned_Data!$N:$N,Cleaned_Data!$E:$E,$A8,Cleaned_Data!$L:$L,"Completed")</f>
        <v>21558.456500000004</v>
      </c>
      <c r="C8" s="5">
        <f>COUNTIFS(Cleaned_Data!$E:$E,$A8,Cleaned_Data!$L:$L,"Completed")</f>
        <v>15</v>
      </c>
    </row>
    <row r="9" spans="1:3" x14ac:dyDescent="0.3">
      <c r="A9" s="4" t="s">
        <v>9</v>
      </c>
      <c r="B9" s="5">
        <f>SUMIFS(Cleaned_Data!$N:$N,Cleaned_Data!$E:$E,$A9,Cleaned_Data!$L:$L,"Completed")</f>
        <v>6758.1394999999984</v>
      </c>
      <c r="C9" s="5">
        <f>COUNTIFS(Cleaned_Data!$E:$E,$A9,Cleaned_Data!$L:$L,"Completed")</f>
        <v>21</v>
      </c>
    </row>
    <row r="10" spans="1:3" x14ac:dyDescent="0.3">
      <c r="A10" s="4" t="s">
        <v>10</v>
      </c>
      <c r="B10" s="5">
        <f>SUMIFS(Cleaned_Data!$N:$N,Cleaned_Data!$E:$E,$A10,Cleaned_Data!$L:$L,"Completed")</f>
        <v>5622.6600000000017</v>
      </c>
      <c r="C10" s="5">
        <f>COUNTIFS(Cleaned_Data!$E:$E,$A10,Cleaned_Data!$L:$L,"Completed")</f>
        <v>11</v>
      </c>
    </row>
    <row r="11" spans="1:3" x14ac:dyDescent="0.3">
      <c r="A11" s="4" t="s">
        <v>11</v>
      </c>
      <c r="B11" s="5">
        <f>SUMIFS(Cleaned_Data!$N:$N,Cleaned_Data!$E:$E,$A11,Cleaned_Data!$L:$L,"Completed")</f>
        <v>4684.1449999999995</v>
      </c>
      <c r="C11" s="5">
        <f>COUNTIFS(Cleaned_Data!$E:$E,$A11,Cleaned_Data!$L:$L,"Completed")</f>
        <v>18</v>
      </c>
    </row>
    <row r="12" spans="1:3" x14ac:dyDescent="0.3">
      <c r="A12" s="4" t="s">
        <v>12</v>
      </c>
      <c r="B12" s="5">
        <f>SUMIFS(Cleaned_Data!$N:$N,Cleaned_Data!$E:$E,$A12,Cleaned_Data!$L:$L,"Completed")</f>
        <v>3704.9365000000003</v>
      </c>
      <c r="C12" s="5">
        <f>COUNTIFS(Cleaned_Data!$E:$E,$A12,Cleaned_Data!$L:$L,"Completed")</f>
        <v>20</v>
      </c>
    </row>
    <row r="13" spans="1:3" x14ac:dyDescent="0.3">
      <c r="A13" s="4" t="s">
        <v>13</v>
      </c>
      <c r="B13" s="5">
        <f>SUMIFS(Cleaned_Data!$N:$N,Cleaned_Data!$E:$E,$A13,Cleaned_Data!$L:$L,"Completed")</f>
        <v>2444.1410000000001</v>
      </c>
      <c r="C13" s="5">
        <f>COUNTIFS(Cleaned_Data!$E:$E,$A13,Cleaned_Data!$L:$L,"Completed")</f>
        <v>17</v>
      </c>
    </row>
    <row r="14" spans="1:3" x14ac:dyDescent="0.3">
      <c r="A14" s="4" t="s">
        <v>14</v>
      </c>
      <c r="B14" s="5">
        <f>SUMIFS(Cleaned_Data!$N:$N,Cleaned_Data!$E:$E,$A14,Cleaned_Data!$L:$L,"Completed")</f>
        <v>2119.3419999999996</v>
      </c>
      <c r="C14" s="5">
        <f>COUNTIFS(Cleaned_Data!$E:$E,$A14,Cleaned_Data!$L:$L,"Completed")</f>
        <v>20</v>
      </c>
    </row>
    <row r="17" spans="1:4" x14ac:dyDescent="0.3">
      <c r="A17" s="2" t="s">
        <v>15</v>
      </c>
    </row>
    <row r="18" spans="1:4" ht="28.2" x14ac:dyDescent="0.3">
      <c r="A18" s="3" t="s">
        <v>2</v>
      </c>
      <c r="B18" s="3" t="s">
        <v>3</v>
      </c>
      <c r="C18" s="3" t="s">
        <v>4</v>
      </c>
    </row>
    <row r="19" spans="1:4" x14ac:dyDescent="0.3">
      <c r="A19" s="4" t="s">
        <v>16</v>
      </c>
      <c r="B19" s="5">
        <f>SUMIFS(Cleaned_Data!$N:$N,Cleaned_Data!$D:$D,$A19,Cleaned_Data!$L:$L,"Completed")</f>
        <v>31587.162499999999</v>
      </c>
      <c r="C19" s="5">
        <f>COUNTIFS(Cleaned_Data!$D:$D,$A19,Cleaned_Data!$L:$L,"Completed")</f>
        <v>44</v>
      </c>
    </row>
    <row r="20" spans="1:4" x14ac:dyDescent="0.3">
      <c r="A20" s="4" t="s">
        <v>17</v>
      </c>
      <c r="B20" s="5">
        <f>SUMIFS(Cleaned_Data!$N:$N,Cleaned_Data!$D:$D,$A20,Cleaned_Data!$L:$L,"Completed")</f>
        <v>21340.655999999999</v>
      </c>
      <c r="C20" s="5">
        <f>COUNTIFS(Cleaned_Data!$D:$D,$A20,Cleaned_Data!$L:$L,"Completed")</f>
        <v>33</v>
      </c>
    </row>
    <row r="21" spans="1:4" x14ac:dyDescent="0.3">
      <c r="A21" s="4" t="s">
        <v>18</v>
      </c>
      <c r="B21" s="5">
        <f>SUMIFS(Cleaned_Data!$N:$N,Cleaned_Data!$D:$D,$A21,Cleaned_Data!$L:$L,"Completed")</f>
        <v>20239.900499999996</v>
      </c>
      <c r="C21" s="5">
        <f>COUNTIFS(Cleaned_Data!$D:$D,$A21,Cleaned_Data!$L:$L,"Completed")</f>
        <v>35</v>
      </c>
    </row>
    <row r="22" spans="1:4" x14ac:dyDescent="0.3">
      <c r="A22" s="4" t="s">
        <v>19</v>
      </c>
      <c r="B22" s="5">
        <f>SUMIFS(Cleaned_Data!$N:$N,Cleaned_Data!$D:$D,$A22,Cleaned_Data!$L:$L,"Completed")</f>
        <v>19703.739000000001</v>
      </c>
      <c r="C22" s="5">
        <f>COUNTIFS(Cleaned_Data!$D:$D,$A22,Cleaned_Data!$L:$L,"Completed")</f>
        <v>27</v>
      </c>
    </row>
    <row r="23" spans="1:4" x14ac:dyDescent="0.3">
      <c r="A23" s="4" t="s">
        <v>20</v>
      </c>
      <c r="B23" s="5">
        <f>SUMIFS(Cleaned_Data!$N:$N,Cleaned_Data!$D:$D,$A23,Cleaned_Data!$L:$L,"Completed")</f>
        <v>18596.392000000003</v>
      </c>
      <c r="C23" s="5">
        <f>COUNTIFS(Cleaned_Data!$D:$D,$A23,Cleaned_Data!$L:$L,"Completed")</f>
        <v>26</v>
      </c>
    </row>
    <row r="24" spans="1:4" x14ac:dyDescent="0.3">
      <c r="A24" s="4" t="s">
        <v>21</v>
      </c>
      <c r="B24" s="5">
        <f>SUMIFS(Cleaned_Data!$N:$N,Cleaned_Data!$D:$D,$A24,Cleaned_Data!$L:$L,"Completed")</f>
        <v>18497.050000000003</v>
      </c>
      <c r="C24" s="5">
        <f>COUNTIFS(Cleaned_Data!$D:$D,$A24,Cleaned_Data!$L:$L,"Completed")</f>
        <v>25</v>
      </c>
    </row>
    <row r="25" spans="1:4" x14ac:dyDescent="0.3">
      <c r="A25" s="35" t="s">
        <v>22</v>
      </c>
      <c r="B25" s="5">
        <f>SUMIFS(Cleaned_Data!$N:$N,Cleaned_Data!$D:$D,$A25,Cleaned_Data!$L:$L,"Completed")</f>
        <v>526.70100000000002</v>
      </c>
      <c r="C25" s="5">
        <f>COUNTIFS(Cleaned_Data!$D:$D,$A25,Cleaned_Data!$L:$L,"Completed")</f>
        <v>3</v>
      </c>
    </row>
    <row r="28" spans="1:4" x14ac:dyDescent="0.3">
      <c r="A28" s="2" t="s">
        <v>23</v>
      </c>
    </row>
    <row r="29" spans="1:4" ht="28.2" x14ac:dyDescent="0.3">
      <c r="A29" s="3" t="s">
        <v>2</v>
      </c>
      <c r="B29" s="3" t="s">
        <v>3</v>
      </c>
      <c r="C29" s="3" t="s">
        <v>4</v>
      </c>
      <c r="D29" s="3" t="s">
        <v>24</v>
      </c>
    </row>
    <row r="30" spans="1:4" x14ac:dyDescent="0.3">
      <c r="A30" s="4" t="s">
        <v>25</v>
      </c>
      <c r="B30" s="5">
        <f>SUMIFS(Cleaned_Data!$N:$N,Cleaned_Data!$F:$F,$A30,Cleaned_Data!$L:$L,"Completed")</f>
        <v>62944.548999999999</v>
      </c>
      <c r="C30" s="5">
        <f>COUNTIFS(Cleaned_Data!$F:$F,$A30,Cleaned_Data!$L:$L,"Completed")</f>
        <v>63</v>
      </c>
      <c r="D30" s="6">
        <f>IFERROR(B30/SUMIFS(Cleaned_Data!$N:$N,Cleaned_Data!$L:$L,"Completed"),0)</f>
        <v>0.48236475388174627</v>
      </c>
    </row>
    <row r="31" spans="1:4" x14ac:dyDescent="0.3">
      <c r="A31" s="4" t="s">
        <v>26</v>
      </c>
      <c r="B31" s="5">
        <f>SUMIFS(Cleaned_Data!$N:$N,Cleaned_Data!$F:$F,$A31,Cleaned_Data!$L:$L,"Completed")</f>
        <v>34373.635999999999</v>
      </c>
      <c r="C31" s="5">
        <f>COUNTIFS(Cleaned_Data!$F:$F,$A31,Cleaned_Data!$L:$L,"Completed")</f>
        <v>45</v>
      </c>
      <c r="D31" s="6">
        <f>IFERROR(B31/SUMIFS(Cleaned_Data!$N:$N,Cleaned_Data!$L:$L,"Completed"),0)</f>
        <v>0.26341646310247985</v>
      </c>
    </row>
    <row r="32" spans="1:4" x14ac:dyDescent="0.3">
      <c r="A32" s="4" t="s">
        <v>27</v>
      </c>
      <c r="B32" s="5">
        <f>SUMIFS(Cleaned_Data!$N:$N,Cleaned_Data!$F:$F,$A32,Cleaned_Data!$L:$L,"Completed")</f>
        <v>28609.93299999999</v>
      </c>
      <c r="C32" s="5">
        <f>COUNTIFS(Cleaned_Data!$F:$F,$A32,Cleaned_Data!$L:$L,"Completed")</f>
        <v>48</v>
      </c>
      <c r="D32" s="6">
        <f>IFERROR(B32/SUMIFS(Cleaned_Data!$N:$N,Cleaned_Data!$L:$L,"Completed"),0)</f>
        <v>0.21924731385585502</v>
      </c>
    </row>
    <row r="33" spans="1:4" x14ac:dyDescent="0.3">
      <c r="A33" s="4" t="s">
        <v>28</v>
      </c>
      <c r="B33" s="5">
        <f>SUMIFS(Cleaned_Data!$N:$N,Cleaned_Data!$F:$F,$A33,Cleaned_Data!$L:$L,"Completed")</f>
        <v>4563.4830000000002</v>
      </c>
      <c r="C33" s="5">
        <f>COUNTIFS(Cleaned_Data!$F:$F,$A33,Cleaned_Data!$L:$L,"Completed")</f>
        <v>37</v>
      </c>
      <c r="D33" s="6">
        <f>IFERROR(B33/SUMIFS(Cleaned_Data!$N:$N,Cleaned_Data!$L:$L,"Completed"),0)</f>
        <v>3.4971469159919367E-2</v>
      </c>
    </row>
    <row r="36" spans="1:4" x14ac:dyDescent="0.3">
      <c r="A36" s="2" t="s">
        <v>29</v>
      </c>
    </row>
    <row r="37" spans="1:4" ht="28.2" x14ac:dyDescent="0.3">
      <c r="A37" s="3" t="s">
        <v>2</v>
      </c>
      <c r="B37" s="3" t="s">
        <v>3</v>
      </c>
      <c r="C37" s="3" t="s">
        <v>24</v>
      </c>
    </row>
    <row r="38" spans="1:4" x14ac:dyDescent="0.3">
      <c r="A38" s="4" t="s">
        <v>30</v>
      </c>
      <c r="B38" s="5">
        <f>SUMIFS(Cleaned_Data!$N:$N,Cleaned_Data!$J:$J,$A38,Cleaned_Data!$L:$L,"Completed")</f>
        <v>39598.177999999993</v>
      </c>
      <c r="C38" s="6">
        <f>IFERROR(B38/SUMIFS(Cleaned_Data!$N:$N,Cleaned_Data!$L:$L,"Completed"),0)</f>
        <v>0.30345384451218449</v>
      </c>
    </row>
    <row r="39" spans="1:4" x14ac:dyDescent="0.3">
      <c r="A39" s="4" t="s">
        <v>31</v>
      </c>
      <c r="B39" s="5">
        <f>SUMIFS(Cleaned_Data!$N:$N,Cleaned_Data!$J:$J,$A39,Cleaned_Data!$L:$L,"Completed")</f>
        <v>35935.887999999999</v>
      </c>
      <c r="C39" s="6">
        <f>IFERROR(B39/SUMIFS(Cleaned_Data!$N:$N,Cleaned_Data!$L:$L,"Completed"),0)</f>
        <v>0.27538851331895314</v>
      </c>
    </row>
    <row r="40" spans="1:4" x14ac:dyDescent="0.3">
      <c r="A40" s="4" t="s">
        <v>32</v>
      </c>
      <c r="B40" s="5">
        <f>SUMIFS(Cleaned_Data!$N:$N,Cleaned_Data!$J:$J,$A40,Cleaned_Data!$L:$L,"Completed")</f>
        <v>33044.443500000008</v>
      </c>
      <c r="C40" s="6">
        <f>IFERROR(B40/SUMIFS(Cleaned_Data!$N:$N,Cleaned_Data!$L:$L,"Completed"),0)</f>
        <v>0.25323042438570453</v>
      </c>
    </row>
    <row r="41" spans="1:4" x14ac:dyDescent="0.3">
      <c r="A41" s="4" t="s">
        <v>33</v>
      </c>
      <c r="B41" s="5">
        <f>SUMIFS(Cleaned_Data!$N:$N,Cleaned_Data!$J:$J,$A41,Cleaned_Data!$L:$L,"Completed")</f>
        <v>21913.091500000002</v>
      </c>
      <c r="C41" s="6">
        <f>IFERROR(B41/SUMIFS(Cleaned_Data!$N:$N,Cleaned_Data!$L:$L,"Completed"),0)</f>
        <v>0.16792721778315844</v>
      </c>
    </row>
    <row r="44" spans="1:4" x14ac:dyDescent="0.3">
      <c r="A44" s="2" t="s">
        <v>34</v>
      </c>
    </row>
    <row r="45" spans="1:4" x14ac:dyDescent="0.3">
      <c r="A45" s="3" t="s">
        <v>2</v>
      </c>
      <c r="B45" s="3" t="s">
        <v>35</v>
      </c>
      <c r="C45" s="3" t="s">
        <v>36</v>
      </c>
    </row>
    <row r="46" spans="1:4" x14ac:dyDescent="0.3">
      <c r="A46" s="4" t="s">
        <v>37</v>
      </c>
      <c r="B46" s="5">
        <f>COUNTIFS(Cleaned_Data!$L:$L,$A46)</f>
        <v>193</v>
      </c>
      <c r="C46" s="5">
        <f>SUMIFS(Cleaned_Data!$N:$N,Cleaned_Data!$L:$L,$A46)</f>
        <v>130491.60099999992</v>
      </c>
    </row>
    <row r="47" spans="1:4" x14ac:dyDescent="0.3">
      <c r="A47" s="4" t="s">
        <v>38</v>
      </c>
      <c r="B47" s="5">
        <f>COUNTIFS(Cleaned_Data!$L:$L,$A47)</f>
        <v>71</v>
      </c>
      <c r="C47" s="5">
        <f>SUMIFS(Cleaned_Data!$N:$N,Cleaned_Data!$L:$L,$A47)</f>
        <v>41562.343499999995</v>
      </c>
    </row>
    <row r="48" spans="1:4" x14ac:dyDescent="0.3">
      <c r="A48" s="4" t="s">
        <v>39</v>
      </c>
      <c r="B48" s="5">
        <f>COUNTIFS(Cleaned_Data!$L:$L,$A48)</f>
        <v>71</v>
      </c>
      <c r="C48" s="5">
        <f>SUMIFS(Cleaned_Data!$N:$N,Cleaned_Data!$L:$L,$A48)</f>
        <v>43934.01249999999</v>
      </c>
    </row>
    <row r="50" spans="1:5" x14ac:dyDescent="0.3">
      <c r="A50" s="2" t="s">
        <v>40</v>
      </c>
    </row>
    <row r="51" spans="1:5" x14ac:dyDescent="0.3">
      <c r="A51" s="7" t="s">
        <v>41</v>
      </c>
      <c r="B51" s="7" t="s">
        <v>42</v>
      </c>
      <c r="C51" s="7" t="s">
        <v>3</v>
      </c>
      <c r="D51" s="7" t="s">
        <v>4</v>
      </c>
      <c r="E51" s="7" t="s">
        <v>43</v>
      </c>
    </row>
    <row r="52" spans="1:5" x14ac:dyDescent="0.3">
      <c r="A52" t="str">
        <f t="shared" ref="A52:A61" si="0">TEXT(B52,"mmm yyyy")</f>
        <v>Jan 2025</v>
      </c>
      <c r="B52" s="8">
        <v>45658</v>
      </c>
      <c r="C52" s="9">
        <f>SUMIFS(Cleaned_Data!$N:$N,Cleaned_Data!$L:$L,"Completed",Cleaned_Data!$B:$B,"&gt;="&amp;B52,Cleaned_Data!$B:$B,"&lt;"&amp;EDATE(B52,1))</f>
        <v>17625.018999999997</v>
      </c>
      <c r="D52">
        <f>COUNTIFS(Cleaned_Data!$L:$L,"Completed",Cleaned_Data!$B:$B,"&gt;="&amp;B52,Cleaned_Data!$B:$B,"&lt;"&amp;EDATE(B52,1))</f>
        <v>26</v>
      </c>
      <c r="E52">
        <f>COUNTIFS(Cleaned_Data!$B:$B,"&gt;="&amp;B52,Cleaned_Data!$B:$B,"&lt;"&amp;EDATE(B52,1))</f>
        <v>39</v>
      </c>
    </row>
    <row r="53" spans="1:5" x14ac:dyDescent="0.3">
      <c r="A53" t="str">
        <f t="shared" si="0"/>
        <v>Feb 2025</v>
      </c>
      <c r="B53" s="8">
        <v>45689</v>
      </c>
      <c r="C53" s="9">
        <f>SUMIFS(Cleaned_Data!$N:$N,Cleaned_Data!$L:$L,"Completed",Cleaned_Data!$B:$B,"&gt;="&amp;B53,Cleaned_Data!$B:$B,"&lt;"&amp;EDATE(B53,1))</f>
        <v>21132.757000000001</v>
      </c>
      <c r="D53">
        <f>COUNTIFS(Cleaned_Data!$L:$L,"Completed",Cleaned_Data!$B:$B,"&gt;="&amp;B53,Cleaned_Data!$B:$B,"&lt;"&amp;EDATE(B53,1))</f>
        <v>25</v>
      </c>
      <c r="E53">
        <f>COUNTIFS(Cleaned_Data!$B:$B,"&gt;="&amp;B53,Cleaned_Data!$B:$B,"&lt;"&amp;EDATE(B53,1))</f>
        <v>40</v>
      </c>
    </row>
    <row r="54" spans="1:5" x14ac:dyDescent="0.3">
      <c r="A54" t="str">
        <f t="shared" si="0"/>
        <v>Mar 2025</v>
      </c>
      <c r="B54" s="8">
        <v>45717</v>
      </c>
      <c r="C54" s="9">
        <f>SUMIFS(Cleaned_Data!$N:$N,Cleaned_Data!$L:$L,"Completed",Cleaned_Data!$B:$B,"&gt;="&amp;B54,Cleaned_Data!$B:$B,"&lt;"&amp;EDATE(B54,1))</f>
        <v>10332.147499999999</v>
      </c>
      <c r="D54">
        <f>COUNTIFS(Cleaned_Data!$L:$L,"Completed",Cleaned_Data!$B:$B,"&gt;="&amp;B54,Cleaned_Data!$B:$B,"&lt;"&amp;EDATE(B54,1))</f>
        <v>16</v>
      </c>
      <c r="E54">
        <f>COUNTIFS(Cleaned_Data!$B:$B,"&gt;="&amp;B54,Cleaned_Data!$B:$B,"&lt;"&amp;EDATE(B54,1))</f>
        <v>38</v>
      </c>
    </row>
    <row r="55" spans="1:5" x14ac:dyDescent="0.3">
      <c r="A55" t="str">
        <f t="shared" si="0"/>
        <v>Apr 2025</v>
      </c>
      <c r="B55" s="8">
        <v>45748</v>
      </c>
      <c r="C55" s="9">
        <f>SUMIFS(Cleaned_Data!$N:$N,Cleaned_Data!$L:$L,"Completed",Cleaned_Data!$B:$B,"&gt;="&amp;B55,Cleaned_Data!$B:$B,"&lt;"&amp;EDATE(B55,1))</f>
        <v>14648.552</v>
      </c>
      <c r="D55">
        <f>COUNTIFS(Cleaned_Data!$L:$L,"Completed",Cleaned_Data!$B:$B,"&gt;="&amp;B55,Cleaned_Data!$B:$B,"&lt;"&amp;EDATE(B55,1))</f>
        <v>23</v>
      </c>
      <c r="E55">
        <f>COUNTIFS(Cleaned_Data!$B:$B,"&gt;="&amp;B55,Cleaned_Data!$B:$B,"&lt;"&amp;EDATE(B55,1))</f>
        <v>40</v>
      </c>
    </row>
    <row r="56" spans="1:5" x14ac:dyDescent="0.3">
      <c r="A56" t="str">
        <f t="shared" si="0"/>
        <v>May 2025</v>
      </c>
      <c r="B56" s="8">
        <v>45778</v>
      </c>
      <c r="C56" s="9">
        <f>SUMIFS(Cleaned_Data!$N:$N,Cleaned_Data!$L:$L,"Completed",Cleaned_Data!$B:$B,"&gt;="&amp;B56,Cleaned_Data!$B:$B,"&lt;"&amp;EDATE(B56,1))</f>
        <v>14735.001499999997</v>
      </c>
      <c r="D56">
        <f>COUNTIFS(Cleaned_Data!$L:$L,"Completed",Cleaned_Data!$B:$B,"&gt;="&amp;B56,Cleaned_Data!$B:$B,"&lt;"&amp;EDATE(B56,1))</f>
        <v>23</v>
      </c>
      <c r="E56">
        <f>COUNTIFS(Cleaned_Data!$B:$B,"&gt;="&amp;B56,Cleaned_Data!$B:$B,"&lt;"&amp;EDATE(B56,1))</f>
        <v>42</v>
      </c>
    </row>
    <row r="57" spans="1:5" x14ac:dyDescent="0.3">
      <c r="A57" t="str">
        <f t="shared" si="0"/>
        <v>Jun 2025</v>
      </c>
      <c r="B57" s="8">
        <v>45809</v>
      </c>
      <c r="C57" s="9">
        <f>SUMIFS(Cleaned_Data!$N:$N,Cleaned_Data!$L:$L,"Completed",Cleaned_Data!$B:$B,"&gt;="&amp;B57,Cleaned_Data!$B:$B,"&lt;"&amp;EDATE(B57,1))</f>
        <v>13884.5825</v>
      </c>
      <c r="D57">
        <f>COUNTIFS(Cleaned_Data!$L:$L,"Completed",Cleaned_Data!$B:$B,"&gt;="&amp;B57,Cleaned_Data!$B:$B,"&lt;"&amp;EDATE(B57,1))</f>
        <v>21</v>
      </c>
      <c r="E57">
        <f>COUNTIFS(Cleaned_Data!$B:$B,"&gt;="&amp;B57,Cleaned_Data!$B:$B,"&lt;"&amp;EDATE(B57,1))</f>
        <v>39</v>
      </c>
    </row>
    <row r="58" spans="1:5" x14ac:dyDescent="0.3">
      <c r="A58" t="str">
        <f t="shared" si="0"/>
        <v>Jul 2025</v>
      </c>
      <c r="B58" s="8">
        <v>45839</v>
      </c>
      <c r="C58" s="9">
        <f>SUMIFS(Cleaned_Data!$N:$N,Cleaned_Data!$L:$L,"Completed",Cleaned_Data!$B:$B,"&gt;="&amp;B58,Cleaned_Data!$B:$B,"&lt;"&amp;EDATE(B58,1))</f>
        <v>11367.763000000001</v>
      </c>
      <c r="D58">
        <f>COUNTIFS(Cleaned_Data!$L:$L,"Completed",Cleaned_Data!$B:$B,"&gt;="&amp;B58,Cleaned_Data!$B:$B,"&lt;"&amp;EDATE(B58,1))</f>
        <v>20</v>
      </c>
      <c r="E58">
        <f>COUNTIFS(Cleaned_Data!$B:$B,"&gt;="&amp;B58,Cleaned_Data!$B:$B,"&lt;"&amp;EDATE(B58,1))</f>
        <v>35</v>
      </c>
    </row>
    <row r="59" spans="1:5" x14ac:dyDescent="0.3">
      <c r="A59" t="str">
        <f t="shared" si="0"/>
        <v>Aug 2025</v>
      </c>
      <c r="B59" s="8">
        <v>45870</v>
      </c>
      <c r="C59" s="9">
        <f>SUMIFS(Cleaned_Data!$N:$N,Cleaned_Data!$L:$L,"Completed",Cleaned_Data!$B:$B,"&gt;="&amp;B59,Cleaned_Data!$B:$B,"&lt;"&amp;EDATE(B59,1))</f>
        <v>14449.832000000002</v>
      </c>
      <c r="D59">
        <f>COUNTIFS(Cleaned_Data!$L:$L,"Completed",Cleaned_Data!$B:$B,"&gt;="&amp;B59,Cleaned_Data!$B:$B,"&lt;"&amp;EDATE(B59,1))</f>
        <v>19</v>
      </c>
      <c r="E59">
        <f>COUNTIFS(Cleaned_Data!$B:$B,"&gt;="&amp;B59,Cleaned_Data!$B:$B,"&lt;"&amp;EDATE(B59,1))</f>
        <v>24</v>
      </c>
    </row>
    <row r="60" spans="1:5" x14ac:dyDescent="0.3">
      <c r="A60" t="str">
        <f t="shared" si="0"/>
        <v>Sep 2025</v>
      </c>
      <c r="B60" s="8">
        <v>45901</v>
      </c>
      <c r="C60" s="9">
        <f>SUMIFS(Cleaned_Data!$N:$N,Cleaned_Data!$L:$L,"Completed",Cleaned_Data!$B:$B,"&gt;="&amp;B60,Cleaned_Data!$B:$B,"&lt;"&amp;EDATE(B60,1))</f>
        <v>10819.565500000001</v>
      </c>
      <c r="D60">
        <f>COUNTIFS(Cleaned_Data!$L:$L,"Completed",Cleaned_Data!$B:$B,"&gt;="&amp;B60,Cleaned_Data!$B:$B,"&lt;"&amp;EDATE(B60,1))</f>
        <v>17</v>
      </c>
      <c r="E60">
        <f>COUNTIFS(Cleaned_Data!$B:$B,"&gt;="&amp;B60,Cleaned_Data!$B:$B,"&lt;"&amp;EDATE(B60,1))</f>
        <v>34</v>
      </c>
    </row>
    <row r="61" spans="1:5" x14ac:dyDescent="0.3">
      <c r="A61" t="str">
        <f t="shared" si="0"/>
        <v>Oct 2025</v>
      </c>
      <c r="B61" s="8">
        <v>45931</v>
      </c>
      <c r="C61" s="9">
        <f>SUMIFS(Cleaned_Data!$N:$N,Cleaned_Data!$L:$L,"Completed",Cleaned_Data!$B:$B,"&gt;="&amp;B61,Cleaned_Data!$B:$B,"&lt;"&amp;EDATE(B61,1))</f>
        <v>379.49</v>
      </c>
      <c r="D61">
        <f>COUNTIFS(Cleaned_Data!$L:$L,"Completed",Cleaned_Data!$B:$B,"&gt;="&amp;B61,Cleaned_Data!$B:$B,"&lt;"&amp;EDATE(B61,1))</f>
        <v>1</v>
      </c>
      <c r="E61">
        <f>COUNTIFS(Cleaned_Data!$B:$B,"&gt;="&amp;B61,Cleaned_Data!$B:$B,"&lt;"&amp;EDATE(B61,1))</f>
        <v>1</v>
      </c>
    </row>
    <row r="64" spans="1:5" x14ac:dyDescent="0.3">
      <c r="A64" s="2" t="s">
        <v>44</v>
      </c>
    </row>
    <row r="65" spans="1:2" x14ac:dyDescent="0.3">
      <c r="A65" s="4" t="s">
        <v>45</v>
      </c>
      <c r="B65" s="10">
        <f>SUMIFS(Cleaned_Data!$N:$N,Cleaned_Data!$L:$L,"Completed")</f>
        <v>130491.60099999992</v>
      </c>
    </row>
    <row r="66" spans="1:2" x14ac:dyDescent="0.3">
      <c r="A66" s="4" t="s">
        <v>4</v>
      </c>
      <c r="B66" s="10">
        <f>COUNTIFS(Cleaned_Data!$L:$L,"Completed")</f>
        <v>193</v>
      </c>
    </row>
    <row r="67" spans="1:2" x14ac:dyDescent="0.3">
      <c r="A67" s="4" t="s">
        <v>46</v>
      </c>
      <c r="B67" s="10">
        <f>IFERROR(B65/B66,0)</f>
        <v>676.12228497409285</v>
      </c>
    </row>
    <row r="68" spans="1:2" x14ac:dyDescent="0.3">
      <c r="A68" s="4" t="s">
        <v>47</v>
      </c>
      <c r="B68" s="11">
        <f>IFERROR(COUNTIFS(Cleaned_Data!$L:$L,"Cancelled")/(COUNTA(Cleaned_Data!$A:$A)-1),0)</f>
        <v>0.21194029850746268</v>
      </c>
    </row>
    <row r="69" spans="1:2" x14ac:dyDescent="0.3">
      <c r="A69" s="4" t="s">
        <v>48</v>
      </c>
      <c r="B69" s="11">
        <f>IFERROR(COUNTIFS(Cleaned_Data!$L:$L,"Returned")/(COUNTA(Cleaned_Data!$A:$A)-1),0)</f>
        <v>0.21194029850746268</v>
      </c>
    </row>
    <row r="70" spans="1:2" x14ac:dyDescent="0.3">
      <c r="A70" s="4" t="s">
        <v>49</v>
      </c>
      <c r="B70" s="10">
        <f>SUMIFS(Cleaned_Data!$N:$N,Cleaned_Data!$L:$L,"Cancelled")+SUMIFS(Cleaned_Data!$N:$N,Cleaned_Data!$L:$L,"Returned")</f>
        <v>85496.355999999985</v>
      </c>
    </row>
    <row r="71" spans="1:2" x14ac:dyDescent="0.3">
      <c r="A71" s="4" t="s">
        <v>50</v>
      </c>
      <c r="B71" s="10">
        <f>COUNTIFS(Cleaned_Data!$L:$L,"Cancelled")+COUNTIFS(Cleaned_Data!$L:$L,"Returned")</f>
        <v>142</v>
      </c>
    </row>
    <row r="72" spans="1:2" x14ac:dyDescent="0.3">
      <c r="A72" s="4" t="s">
        <v>51</v>
      </c>
      <c r="B72" s="10">
        <f>COUNTA(Cleaned_Data!$A:$A)-1</f>
        <v>335</v>
      </c>
    </row>
    <row r="73" spans="1:2" x14ac:dyDescent="0.3">
      <c r="A73" s="4" t="s">
        <v>52</v>
      </c>
      <c r="B73" s="10">
        <f>COUNTA(Cleaned_Data!$A:$A)-1-COUNTIFS(Cleaned_Data!$B:$B,"&gt;="&amp;DATE(2025,1,1),Cleaned_Data!$B:$B,"&lt;"&amp;DATE(2026,1,1))</f>
        <v>3</v>
      </c>
    </row>
    <row r="74" spans="1:2" x14ac:dyDescent="0.3">
      <c r="A74" s="4" t="s">
        <v>53</v>
      </c>
      <c r="B74" s="12" t="str">
        <f>INDEX($A$5:$A$14,MATCH(MAX($B$5:$B$14),$B$5:$B$14,0))</f>
        <v>Headphones</v>
      </c>
    </row>
    <row r="75" spans="1:2" x14ac:dyDescent="0.3">
      <c r="A75" s="4" t="s">
        <v>54</v>
      </c>
      <c r="B75" s="12" t="str">
        <f>INDEX($A$19:$A$25,MATCH(MAX($B$19:$B$25),$B$19:$B$25,0))</f>
        <v>Giza</v>
      </c>
    </row>
    <row r="76" spans="1:2" x14ac:dyDescent="0.3">
      <c r="A76" s="4" t="s">
        <v>55</v>
      </c>
      <c r="B76" s="12" t="str">
        <f>INDEX($A$38:$A$41,MATCH(MAX($B$38:$B$41),$B$38:$B$41,0))</f>
        <v>Facebook</v>
      </c>
    </row>
    <row r="77" spans="1:2" x14ac:dyDescent="0.3">
      <c r="A77" s="4" t="s">
        <v>56</v>
      </c>
      <c r="B77" s="12" t="str">
        <f>INDEX($A$52:$A$61,MATCH(MAX($C$52:$C$61),$C$52:$C$61,0))</f>
        <v>Feb 2025</v>
      </c>
    </row>
    <row r="78" spans="1:2" x14ac:dyDescent="0.3">
      <c r="A78" s="4" t="s">
        <v>57</v>
      </c>
      <c r="B78" s="10">
        <f>MAX($C$52:$C$61)</f>
        <v>21132.757000000001</v>
      </c>
    </row>
    <row r="79" spans="1:2" x14ac:dyDescent="0.3">
      <c r="A79" s="4" t="s">
        <v>58</v>
      </c>
      <c r="B79" s="12" t="str">
        <f>INDEX($A$52:$A$60,MATCH(MIN($C$52:$C$60),$C$52:$C$60,0))</f>
        <v>Mar 2025</v>
      </c>
    </row>
    <row r="80" spans="1:2" x14ac:dyDescent="0.3">
      <c r="A80" s="4" t="s">
        <v>59</v>
      </c>
      <c r="B80" s="10">
        <f>MIN($C$52:$C$60)</f>
        <v>10332.147499999999</v>
      </c>
    </row>
    <row r="82" spans="1:1" x14ac:dyDescent="0.3">
      <c r="A82" s="13" t="s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zoomScale="74" zoomScaleNormal="70" workbookViewId="0">
      <selection activeCell="Y12" sqref="Y1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"/>
  <sheetViews>
    <sheetView zoomScaleNormal="100" workbookViewId="0">
      <pane ySplit="1" topLeftCell="A2" activePane="bottomLeft" state="frozen"/>
      <selection pane="bottomLeft" activeCell="F2" sqref="F2"/>
    </sheetView>
  </sheetViews>
  <sheetFormatPr defaultColWidth="8.6640625" defaultRowHeight="14.4" x14ac:dyDescent="0.3"/>
  <cols>
    <col min="1" max="2" width="12" customWidth="1"/>
    <col min="3" max="3" width="15" customWidth="1"/>
    <col min="4" max="4" width="12" customWidth="1"/>
    <col min="5" max="6" width="16" customWidth="1"/>
    <col min="7" max="7" width="12" customWidth="1"/>
    <col min="8" max="8" width="16" customWidth="1"/>
    <col min="9" max="9" width="12" customWidth="1"/>
    <col min="10" max="10" width="15" customWidth="1"/>
    <col min="11" max="11" width="16" customWidth="1"/>
    <col min="12" max="12" width="14" customWidth="1"/>
    <col min="13" max="13" width="25" customWidth="1"/>
  </cols>
  <sheetData>
    <row r="1" spans="1:13" ht="30" customHeight="1" x14ac:dyDescent="0.3">
      <c r="A1" s="14" t="s">
        <v>61</v>
      </c>
      <c r="B1" s="14" t="s">
        <v>62</v>
      </c>
      <c r="C1" s="14" t="s">
        <v>63</v>
      </c>
      <c r="D1" s="14" t="s">
        <v>64</v>
      </c>
      <c r="E1" s="14" t="s">
        <v>65</v>
      </c>
      <c r="F1" s="14" t="s">
        <v>66</v>
      </c>
      <c r="G1" s="14" t="s">
        <v>67</v>
      </c>
      <c r="H1" s="14" t="s">
        <v>68</v>
      </c>
      <c r="I1" s="14" t="s">
        <v>69</v>
      </c>
      <c r="J1" s="14" t="s">
        <v>70</v>
      </c>
      <c r="K1" s="14" t="s">
        <v>71</v>
      </c>
      <c r="L1" s="14" t="s">
        <v>72</v>
      </c>
      <c r="M1" s="14" t="s">
        <v>73</v>
      </c>
    </row>
    <row r="2" spans="1:13" x14ac:dyDescent="0.3">
      <c r="A2" t="s">
        <v>74</v>
      </c>
      <c r="B2" t="s">
        <v>75</v>
      </c>
      <c r="C2" t="s">
        <v>76</v>
      </c>
      <c r="D2" t="s">
        <v>17</v>
      </c>
      <c r="E2" t="s">
        <v>12</v>
      </c>
      <c r="F2" t="s">
        <v>25</v>
      </c>
      <c r="G2">
        <v>1</v>
      </c>
      <c r="H2">
        <v>116.25</v>
      </c>
      <c r="I2">
        <v>15</v>
      </c>
      <c r="J2" t="s">
        <v>33</v>
      </c>
      <c r="K2" t="s">
        <v>77</v>
      </c>
      <c r="L2" t="s">
        <v>37</v>
      </c>
      <c r="M2" t="s">
        <v>78</v>
      </c>
    </row>
    <row r="3" spans="1:13" x14ac:dyDescent="0.3">
      <c r="A3" t="s">
        <v>79</v>
      </c>
      <c r="B3" t="s">
        <v>80</v>
      </c>
      <c r="C3" t="s">
        <v>81</v>
      </c>
      <c r="D3" t="s">
        <v>17</v>
      </c>
      <c r="E3" t="s">
        <v>10</v>
      </c>
      <c r="F3" t="s">
        <v>25</v>
      </c>
      <c r="G3">
        <v>1</v>
      </c>
      <c r="H3">
        <v>335.36</v>
      </c>
      <c r="I3">
        <v>15</v>
      </c>
      <c r="J3" t="s">
        <v>32</v>
      </c>
      <c r="K3" t="s">
        <v>82</v>
      </c>
      <c r="L3" t="s">
        <v>38</v>
      </c>
      <c r="M3" t="s">
        <v>83</v>
      </c>
    </row>
    <row r="4" spans="1:13" x14ac:dyDescent="0.3">
      <c r="A4" t="s">
        <v>84</v>
      </c>
      <c r="B4" t="s">
        <v>85</v>
      </c>
      <c r="C4" t="s">
        <v>86</v>
      </c>
      <c r="D4" t="s">
        <v>16</v>
      </c>
      <c r="E4" t="s">
        <v>5</v>
      </c>
      <c r="F4" t="s">
        <v>25</v>
      </c>
      <c r="G4">
        <v>1</v>
      </c>
      <c r="H4">
        <v>1061.46</v>
      </c>
      <c r="I4">
        <v>0</v>
      </c>
      <c r="J4" t="s">
        <v>31</v>
      </c>
      <c r="K4" t="s">
        <v>87</v>
      </c>
      <c r="L4" t="s">
        <v>39</v>
      </c>
      <c r="M4" t="s">
        <v>88</v>
      </c>
    </row>
    <row r="5" spans="1:13" x14ac:dyDescent="0.3">
      <c r="A5" t="s">
        <v>89</v>
      </c>
      <c r="B5" t="s">
        <v>90</v>
      </c>
      <c r="C5" t="s">
        <v>91</v>
      </c>
      <c r="D5" t="s">
        <v>20</v>
      </c>
      <c r="E5" t="s">
        <v>12</v>
      </c>
      <c r="F5" t="s">
        <v>25</v>
      </c>
      <c r="G5">
        <v>1</v>
      </c>
      <c r="H5">
        <v>118.77</v>
      </c>
      <c r="I5">
        <v>15</v>
      </c>
      <c r="J5" t="s">
        <v>32</v>
      </c>
      <c r="K5" t="s">
        <v>92</v>
      </c>
      <c r="L5" t="s">
        <v>38</v>
      </c>
      <c r="M5" t="s">
        <v>93</v>
      </c>
    </row>
    <row r="6" spans="1:13" x14ac:dyDescent="0.3">
      <c r="A6" t="s">
        <v>94</v>
      </c>
      <c r="B6" t="s">
        <v>95</v>
      </c>
      <c r="C6" t="s">
        <v>81</v>
      </c>
      <c r="D6" t="s">
        <v>17</v>
      </c>
      <c r="E6" t="s">
        <v>12</v>
      </c>
      <c r="F6" t="s">
        <v>25</v>
      </c>
      <c r="G6">
        <v>2</v>
      </c>
      <c r="H6">
        <f>AVERAGE(H94,H227)</f>
        <v>127.005</v>
      </c>
      <c r="I6">
        <v>0</v>
      </c>
      <c r="J6" t="s">
        <v>33</v>
      </c>
      <c r="K6" t="s">
        <v>82</v>
      </c>
      <c r="L6" t="s">
        <v>38</v>
      </c>
      <c r="M6" t="s">
        <v>96</v>
      </c>
    </row>
    <row r="7" spans="1:13" x14ac:dyDescent="0.3">
      <c r="A7" t="s">
        <v>97</v>
      </c>
      <c r="B7" t="s">
        <v>98</v>
      </c>
      <c r="C7" t="s">
        <v>99</v>
      </c>
      <c r="D7" t="s">
        <v>17</v>
      </c>
      <c r="E7" t="s">
        <v>12</v>
      </c>
      <c r="F7" t="s">
        <v>25</v>
      </c>
      <c r="G7">
        <v>3</v>
      </c>
      <c r="H7">
        <v>133.99</v>
      </c>
      <c r="I7">
        <v>20</v>
      </c>
      <c r="J7" t="s">
        <v>30</v>
      </c>
      <c r="K7" t="s">
        <v>82</v>
      </c>
      <c r="L7" t="s">
        <v>37</v>
      </c>
      <c r="M7" t="s">
        <v>100</v>
      </c>
    </row>
    <row r="8" spans="1:13" x14ac:dyDescent="0.3">
      <c r="A8" t="s">
        <v>101</v>
      </c>
      <c r="B8" t="s">
        <v>102</v>
      </c>
      <c r="C8" t="s">
        <v>103</v>
      </c>
      <c r="D8" t="s">
        <v>19</v>
      </c>
      <c r="E8" t="s">
        <v>7</v>
      </c>
      <c r="F8" t="s">
        <v>27</v>
      </c>
      <c r="G8">
        <v>1</v>
      </c>
      <c r="H8">
        <v>406.03</v>
      </c>
      <c r="I8">
        <v>15</v>
      </c>
      <c r="J8" t="s">
        <v>31</v>
      </c>
      <c r="K8" t="s">
        <v>82</v>
      </c>
      <c r="L8" t="s">
        <v>38</v>
      </c>
      <c r="M8" t="s">
        <v>104</v>
      </c>
    </row>
    <row r="9" spans="1:13" x14ac:dyDescent="0.3">
      <c r="A9" t="s">
        <v>105</v>
      </c>
      <c r="B9" t="s">
        <v>106</v>
      </c>
      <c r="C9" t="s">
        <v>107</v>
      </c>
      <c r="D9" t="s">
        <v>21</v>
      </c>
      <c r="E9" t="s">
        <v>6</v>
      </c>
      <c r="F9" t="s">
        <v>26</v>
      </c>
      <c r="G9">
        <v>1</v>
      </c>
      <c r="H9">
        <v>38</v>
      </c>
      <c r="I9">
        <v>20</v>
      </c>
      <c r="J9" t="s">
        <v>33</v>
      </c>
      <c r="K9" t="s">
        <v>87</v>
      </c>
      <c r="L9" t="s">
        <v>37</v>
      </c>
      <c r="M9" t="s">
        <v>108</v>
      </c>
    </row>
    <row r="10" spans="1:13" x14ac:dyDescent="0.3">
      <c r="A10" t="s">
        <v>109</v>
      </c>
      <c r="B10" t="s">
        <v>110</v>
      </c>
      <c r="C10" t="s">
        <v>99</v>
      </c>
      <c r="D10" t="s">
        <v>18</v>
      </c>
      <c r="E10" t="s">
        <v>14</v>
      </c>
      <c r="F10" t="s">
        <v>28</v>
      </c>
      <c r="G10">
        <v>1</v>
      </c>
      <c r="H10">
        <v>62.06</v>
      </c>
      <c r="I10">
        <v>15</v>
      </c>
      <c r="J10" t="s">
        <v>32</v>
      </c>
      <c r="K10" t="s">
        <v>82</v>
      </c>
      <c r="L10" t="s">
        <v>37</v>
      </c>
      <c r="M10" t="s">
        <v>111</v>
      </c>
    </row>
    <row r="11" spans="1:13" x14ac:dyDescent="0.3">
      <c r="A11" t="s">
        <v>112</v>
      </c>
      <c r="B11" t="s">
        <v>113</v>
      </c>
      <c r="C11" t="s">
        <v>114</v>
      </c>
      <c r="D11" t="s">
        <v>19</v>
      </c>
      <c r="E11" t="s">
        <v>8</v>
      </c>
      <c r="F11" t="s">
        <v>25</v>
      </c>
      <c r="G11">
        <v>1</v>
      </c>
      <c r="H11">
        <v>676.22</v>
      </c>
      <c r="I11">
        <v>5</v>
      </c>
      <c r="J11" t="s">
        <v>30</v>
      </c>
      <c r="K11" t="s">
        <v>82</v>
      </c>
      <c r="L11" t="s">
        <v>38</v>
      </c>
      <c r="M11" t="s">
        <v>115</v>
      </c>
    </row>
    <row r="12" spans="1:13" x14ac:dyDescent="0.3">
      <c r="A12" t="s">
        <v>116</v>
      </c>
      <c r="B12" t="s">
        <v>117</v>
      </c>
      <c r="C12" t="s">
        <v>103</v>
      </c>
      <c r="D12" t="s">
        <v>22</v>
      </c>
      <c r="E12" t="s">
        <v>13</v>
      </c>
      <c r="F12" t="s">
        <v>28</v>
      </c>
      <c r="G12">
        <v>2</v>
      </c>
      <c r="H12">
        <v>98.01</v>
      </c>
      <c r="I12">
        <v>5</v>
      </c>
      <c r="J12" t="s">
        <v>33</v>
      </c>
      <c r="K12" t="s">
        <v>77</v>
      </c>
      <c r="L12" t="s">
        <v>37</v>
      </c>
      <c r="M12" t="s">
        <v>118</v>
      </c>
    </row>
    <row r="13" spans="1:13" x14ac:dyDescent="0.3">
      <c r="A13" t="s">
        <v>119</v>
      </c>
      <c r="B13" t="s">
        <v>120</v>
      </c>
      <c r="C13" t="s">
        <v>121</v>
      </c>
      <c r="D13" t="s">
        <v>16</v>
      </c>
      <c r="E13" t="s">
        <v>5</v>
      </c>
      <c r="F13" t="s">
        <v>25</v>
      </c>
      <c r="G13">
        <v>5</v>
      </c>
      <c r="H13">
        <v>980.66</v>
      </c>
      <c r="I13">
        <v>20</v>
      </c>
      <c r="J13" t="s">
        <v>30</v>
      </c>
      <c r="K13" t="s">
        <v>92</v>
      </c>
      <c r="L13" t="s">
        <v>37</v>
      </c>
      <c r="M13" t="s">
        <v>122</v>
      </c>
    </row>
    <row r="14" spans="1:13" x14ac:dyDescent="0.3">
      <c r="A14" t="s">
        <v>123</v>
      </c>
      <c r="B14" t="s">
        <v>113</v>
      </c>
      <c r="C14" t="s">
        <v>103</v>
      </c>
      <c r="D14" t="s">
        <v>19</v>
      </c>
      <c r="E14" t="s">
        <v>6</v>
      </c>
      <c r="F14" t="s">
        <v>26</v>
      </c>
      <c r="G14">
        <v>1</v>
      </c>
      <c r="H14">
        <v>702.63</v>
      </c>
      <c r="I14">
        <v>0</v>
      </c>
      <c r="J14" t="s">
        <v>30</v>
      </c>
      <c r="K14" t="s">
        <v>82</v>
      </c>
      <c r="L14" t="s">
        <v>38</v>
      </c>
      <c r="M14" t="s">
        <v>124</v>
      </c>
    </row>
    <row r="15" spans="1:13" x14ac:dyDescent="0.3">
      <c r="A15" t="s">
        <v>125</v>
      </c>
      <c r="B15" t="s">
        <v>126</v>
      </c>
      <c r="C15" t="s">
        <v>127</v>
      </c>
      <c r="D15" t="s">
        <v>16</v>
      </c>
      <c r="E15" t="s">
        <v>7</v>
      </c>
      <c r="F15" t="s">
        <v>27</v>
      </c>
      <c r="G15">
        <v>3</v>
      </c>
      <c r="H15">
        <v>434.63</v>
      </c>
      <c r="I15">
        <v>5</v>
      </c>
      <c r="J15" t="s">
        <v>33</v>
      </c>
      <c r="K15" t="s">
        <v>92</v>
      </c>
      <c r="L15" t="s">
        <v>37</v>
      </c>
      <c r="M15" t="s">
        <v>128</v>
      </c>
    </row>
    <row r="16" spans="1:13" x14ac:dyDescent="0.3">
      <c r="A16" t="s">
        <v>129</v>
      </c>
      <c r="B16" t="s">
        <v>130</v>
      </c>
      <c r="C16" t="s">
        <v>99</v>
      </c>
      <c r="D16" t="s">
        <v>20</v>
      </c>
      <c r="E16" t="s">
        <v>14</v>
      </c>
      <c r="F16" t="s">
        <v>28</v>
      </c>
      <c r="G16">
        <v>1</v>
      </c>
      <c r="H16">
        <v>52.81</v>
      </c>
      <c r="I16">
        <v>20</v>
      </c>
      <c r="J16" t="s">
        <v>31</v>
      </c>
      <c r="K16" t="s">
        <v>82</v>
      </c>
      <c r="L16" t="s">
        <v>37</v>
      </c>
      <c r="M16" t="s">
        <v>131</v>
      </c>
    </row>
    <row r="17" spans="1:13" x14ac:dyDescent="0.3">
      <c r="A17" t="s">
        <v>132</v>
      </c>
      <c r="B17" t="s">
        <v>133</v>
      </c>
      <c r="C17" t="s">
        <v>121</v>
      </c>
      <c r="D17" t="s">
        <v>17</v>
      </c>
      <c r="E17" t="s">
        <v>13</v>
      </c>
      <c r="F17" t="s">
        <v>28</v>
      </c>
      <c r="G17">
        <v>1</v>
      </c>
      <c r="H17">
        <v>92.87</v>
      </c>
      <c r="I17">
        <v>15</v>
      </c>
      <c r="J17" t="s">
        <v>31</v>
      </c>
      <c r="K17" t="s">
        <v>87</v>
      </c>
      <c r="L17" t="s">
        <v>37</v>
      </c>
      <c r="M17" t="s">
        <v>108</v>
      </c>
    </row>
    <row r="18" spans="1:13" x14ac:dyDescent="0.3">
      <c r="A18" t="s">
        <v>134</v>
      </c>
      <c r="B18" t="s">
        <v>135</v>
      </c>
      <c r="C18" t="s">
        <v>81</v>
      </c>
      <c r="D18" t="s">
        <v>20</v>
      </c>
      <c r="E18" t="s">
        <v>7</v>
      </c>
      <c r="F18" t="s">
        <v>27</v>
      </c>
      <c r="G18">
        <v>1</v>
      </c>
      <c r="H18">
        <v>432.35</v>
      </c>
      <c r="I18">
        <v>0</v>
      </c>
      <c r="J18" t="s">
        <v>33</v>
      </c>
      <c r="K18" t="s">
        <v>82</v>
      </c>
      <c r="L18" t="s">
        <v>37</v>
      </c>
      <c r="M18" t="s">
        <v>136</v>
      </c>
    </row>
    <row r="19" spans="1:13" x14ac:dyDescent="0.3">
      <c r="A19" t="s">
        <v>137</v>
      </c>
      <c r="B19" t="s">
        <v>138</v>
      </c>
      <c r="C19" t="s">
        <v>107</v>
      </c>
      <c r="D19" t="s">
        <v>16</v>
      </c>
      <c r="E19" t="s">
        <v>10</v>
      </c>
      <c r="F19" t="s">
        <v>25</v>
      </c>
      <c r="G19">
        <v>1</v>
      </c>
      <c r="H19">
        <v>370.22</v>
      </c>
      <c r="I19">
        <v>0</v>
      </c>
      <c r="J19" t="s">
        <v>31</v>
      </c>
      <c r="K19" t="s">
        <v>87</v>
      </c>
      <c r="L19" t="s">
        <v>37</v>
      </c>
      <c r="M19" t="s">
        <v>139</v>
      </c>
    </row>
    <row r="20" spans="1:13" x14ac:dyDescent="0.3">
      <c r="A20" t="s">
        <v>140</v>
      </c>
      <c r="B20" t="s">
        <v>141</v>
      </c>
      <c r="C20" t="s">
        <v>99</v>
      </c>
      <c r="D20" t="s">
        <v>18</v>
      </c>
      <c r="E20" t="s">
        <v>9</v>
      </c>
      <c r="F20" t="s">
        <v>27</v>
      </c>
      <c r="G20">
        <v>2</v>
      </c>
      <c r="H20">
        <v>194.55</v>
      </c>
      <c r="I20">
        <v>0</v>
      </c>
      <c r="J20" t="s">
        <v>33</v>
      </c>
      <c r="K20" t="s">
        <v>92</v>
      </c>
      <c r="L20" t="s">
        <v>37</v>
      </c>
      <c r="M20" t="s">
        <v>142</v>
      </c>
    </row>
    <row r="21" spans="1:13" x14ac:dyDescent="0.3">
      <c r="A21" t="s">
        <v>143</v>
      </c>
      <c r="B21" t="s">
        <v>144</v>
      </c>
      <c r="C21" t="s">
        <v>107</v>
      </c>
      <c r="D21" t="s">
        <v>18</v>
      </c>
      <c r="E21" t="s">
        <v>7</v>
      </c>
      <c r="F21" t="s">
        <v>27</v>
      </c>
      <c r="G21">
        <v>1</v>
      </c>
      <c r="H21">
        <v>427.04</v>
      </c>
      <c r="I21">
        <v>15</v>
      </c>
      <c r="J21" t="s">
        <v>30</v>
      </c>
      <c r="K21" t="s">
        <v>92</v>
      </c>
      <c r="L21" t="s">
        <v>37</v>
      </c>
      <c r="M21" t="s">
        <v>22</v>
      </c>
    </row>
    <row r="22" spans="1:13" x14ac:dyDescent="0.3">
      <c r="A22" t="s">
        <v>145</v>
      </c>
      <c r="B22" t="s">
        <v>133</v>
      </c>
      <c r="C22" t="s">
        <v>91</v>
      </c>
      <c r="D22" t="s">
        <v>18</v>
      </c>
      <c r="E22" t="s">
        <v>9</v>
      </c>
      <c r="F22" t="s">
        <v>27</v>
      </c>
      <c r="G22">
        <v>1</v>
      </c>
      <c r="H22">
        <v>182.19</v>
      </c>
      <c r="I22">
        <v>0</v>
      </c>
      <c r="J22" t="s">
        <v>146</v>
      </c>
      <c r="K22" t="s">
        <v>77</v>
      </c>
      <c r="L22" t="s">
        <v>37</v>
      </c>
      <c r="M22" t="s">
        <v>147</v>
      </c>
    </row>
    <row r="23" spans="1:13" x14ac:dyDescent="0.3">
      <c r="A23" t="s">
        <v>148</v>
      </c>
      <c r="B23" t="s">
        <v>149</v>
      </c>
      <c r="C23" t="s">
        <v>81</v>
      </c>
      <c r="D23" t="s">
        <v>21</v>
      </c>
      <c r="E23" t="s">
        <v>10</v>
      </c>
      <c r="F23" t="s">
        <v>25</v>
      </c>
      <c r="G23">
        <v>2</v>
      </c>
      <c r="H23">
        <v>362.3</v>
      </c>
      <c r="I23">
        <v>5</v>
      </c>
      <c r="J23" t="s">
        <v>32</v>
      </c>
      <c r="K23" t="s">
        <v>77</v>
      </c>
      <c r="L23" t="s">
        <v>37</v>
      </c>
      <c r="M23" t="s">
        <v>150</v>
      </c>
    </row>
    <row r="24" spans="1:13" x14ac:dyDescent="0.3">
      <c r="A24" t="s">
        <v>151</v>
      </c>
      <c r="B24" t="s">
        <v>152</v>
      </c>
      <c r="C24" t="s">
        <v>91</v>
      </c>
      <c r="D24" t="s">
        <v>18</v>
      </c>
      <c r="E24" t="s">
        <v>6</v>
      </c>
      <c r="F24" t="s">
        <v>26</v>
      </c>
      <c r="G24">
        <v>4</v>
      </c>
      <c r="H24">
        <v>734.1</v>
      </c>
      <c r="I24">
        <v>0</v>
      </c>
      <c r="J24" t="s">
        <v>32</v>
      </c>
      <c r="K24" t="s">
        <v>77</v>
      </c>
      <c r="L24" t="s">
        <v>39</v>
      </c>
      <c r="M24" t="s">
        <v>124</v>
      </c>
    </row>
    <row r="25" spans="1:13" x14ac:dyDescent="0.3">
      <c r="A25" t="s">
        <v>153</v>
      </c>
      <c r="B25" t="s">
        <v>154</v>
      </c>
      <c r="C25" t="s">
        <v>107</v>
      </c>
      <c r="D25" t="s">
        <v>20</v>
      </c>
      <c r="E25" t="s">
        <v>9</v>
      </c>
      <c r="F25" t="s">
        <v>27</v>
      </c>
      <c r="G25">
        <v>1</v>
      </c>
      <c r="H25">
        <v>205.59</v>
      </c>
      <c r="I25">
        <v>10</v>
      </c>
      <c r="J25" t="s">
        <v>32</v>
      </c>
      <c r="K25" t="s">
        <v>82</v>
      </c>
      <c r="L25" t="s">
        <v>37</v>
      </c>
      <c r="M25" t="s">
        <v>155</v>
      </c>
    </row>
    <row r="26" spans="1:13" x14ac:dyDescent="0.3">
      <c r="A26" t="s">
        <v>156</v>
      </c>
      <c r="B26" t="s">
        <v>157</v>
      </c>
      <c r="C26" t="s">
        <v>114</v>
      </c>
      <c r="D26" t="s">
        <v>22</v>
      </c>
      <c r="E26" t="s">
        <v>13</v>
      </c>
      <c r="F26" t="s">
        <v>28</v>
      </c>
      <c r="G26">
        <v>1</v>
      </c>
      <c r="H26">
        <v>85.18</v>
      </c>
      <c r="I26">
        <v>10</v>
      </c>
      <c r="J26" t="s">
        <v>31</v>
      </c>
      <c r="K26" t="s">
        <v>92</v>
      </c>
      <c r="L26" t="s">
        <v>37</v>
      </c>
      <c r="M26" t="s">
        <v>158</v>
      </c>
    </row>
    <row r="27" spans="1:13" x14ac:dyDescent="0.3">
      <c r="A27" t="s">
        <v>159</v>
      </c>
      <c r="B27" t="s">
        <v>160</v>
      </c>
      <c r="C27" t="s">
        <v>76</v>
      </c>
      <c r="D27" t="s">
        <v>20</v>
      </c>
      <c r="E27" t="s">
        <v>6</v>
      </c>
      <c r="F27" t="s">
        <v>26</v>
      </c>
      <c r="G27">
        <v>1</v>
      </c>
      <c r="H27">
        <v>827.87</v>
      </c>
      <c r="I27">
        <v>5</v>
      </c>
      <c r="J27" t="s">
        <v>33</v>
      </c>
      <c r="K27" t="s">
        <v>92</v>
      </c>
      <c r="L27" t="s">
        <v>37</v>
      </c>
      <c r="M27" t="s">
        <v>150</v>
      </c>
    </row>
    <row r="28" spans="1:13" x14ac:dyDescent="0.3">
      <c r="A28" t="s">
        <v>161</v>
      </c>
      <c r="B28" t="s">
        <v>162</v>
      </c>
      <c r="C28" t="s">
        <v>86</v>
      </c>
      <c r="D28" t="s">
        <v>16</v>
      </c>
      <c r="E28" t="s">
        <v>13</v>
      </c>
      <c r="F28" t="s">
        <v>28</v>
      </c>
      <c r="G28">
        <v>1</v>
      </c>
      <c r="H28">
        <v>102</v>
      </c>
      <c r="I28">
        <v>0</v>
      </c>
      <c r="J28" t="s">
        <v>32</v>
      </c>
      <c r="K28" t="s">
        <v>87</v>
      </c>
      <c r="L28" t="s">
        <v>37</v>
      </c>
      <c r="M28" t="s">
        <v>163</v>
      </c>
    </row>
    <row r="29" spans="1:13" x14ac:dyDescent="0.3">
      <c r="A29" t="s">
        <v>164</v>
      </c>
      <c r="B29" t="s">
        <v>165</v>
      </c>
      <c r="C29" t="s">
        <v>76</v>
      </c>
      <c r="D29" t="s">
        <v>20</v>
      </c>
      <c r="E29" t="s">
        <v>13</v>
      </c>
      <c r="F29" t="s">
        <v>28</v>
      </c>
      <c r="G29">
        <v>1</v>
      </c>
      <c r="H29">
        <v>95.93</v>
      </c>
      <c r="I29">
        <v>15</v>
      </c>
      <c r="J29" t="s">
        <v>31</v>
      </c>
      <c r="K29" t="s">
        <v>87</v>
      </c>
      <c r="L29" t="s">
        <v>37</v>
      </c>
      <c r="M29" t="s">
        <v>166</v>
      </c>
    </row>
    <row r="30" spans="1:13" x14ac:dyDescent="0.3">
      <c r="A30" t="s">
        <v>167</v>
      </c>
      <c r="B30" t="s">
        <v>168</v>
      </c>
      <c r="C30" t="s">
        <v>99</v>
      </c>
      <c r="D30" t="s">
        <v>16</v>
      </c>
      <c r="E30" t="s">
        <v>5</v>
      </c>
      <c r="F30" t="s">
        <v>25</v>
      </c>
      <c r="G30">
        <v>1</v>
      </c>
      <c r="H30">
        <v>936.43</v>
      </c>
      <c r="I30">
        <v>20</v>
      </c>
      <c r="J30" t="s">
        <v>33</v>
      </c>
      <c r="K30" t="s">
        <v>92</v>
      </c>
      <c r="L30" t="s">
        <v>38</v>
      </c>
      <c r="M30" t="s">
        <v>169</v>
      </c>
    </row>
    <row r="31" spans="1:13" x14ac:dyDescent="0.3">
      <c r="A31" t="s">
        <v>170</v>
      </c>
      <c r="B31" t="s">
        <v>171</v>
      </c>
      <c r="C31" t="s">
        <v>103</v>
      </c>
      <c r="D31" t="s">
        <v>17</v>
      </c>
      <c r="E31" t="s">
        <v>14</v>
      </c>
      <c r="F31" t="s">
        <v>28</v>
      </c>
      <c r="G31">
        <v>1</v>
      </c>
      <c r="H31">
        <v>54.09</v>
      </c>
      <c r="I31">
        <v>5</v>
      </c>
      <c r="J31" t="s">
        <v>32</v>
      </c>
      <c r="K31" t="s">
        <v>92</v>
      </c>
      <c r="L31" t="s">
        <v>37</v>
      </c>
      <c r="M31" t="s">
        <v>172</v>
      </c>
    </row>
    <row r="32" spans="1:13" x14ac:dyDescent="0.3">
      <c r="A32" t="s">
        <v>173</v>
      </c>
      <c r="B32" t="s">
        <v>174</v>
      </c>
      <c r="C32" t="s">
        <v>107</v>
      </c>
      <c r="D32" t="s">
        <v>16</v>
      </c>
      <c r="E32" t="s">
        <v>12</v>
      </c>
      <c r="F32" t="s">
        <v>25</v>
      </c>
      <c r="G32">
        <v>4</v>
      </c>
      <c r="H32">
        <v>128.72999999999999</v>
      </c>
      <c r="I32">
        <v>10</v>
      </c>
      <c r="J32" t="s">
        <v>31</v>
      </c>
      <c r="K32" t="s">
        <v>77</v>
      </c>
      <c r="L32" t="s">
        <v>38</v>
      </c>
      <c r="M32" t="s">
        <v>175</v>
      </c>
    </row>
    <row r="33" spans="1:13" x14ac:dyDescent="0.3">
      <c r="A33" t="s">
        <v>176</v>
      </c>
      <c r="B33" t="s">
        <v>177</v>
      </c>
      <c r="C33" t="s">
        <v>81</v>
      </c>
      <c r="D33" t="s">
        <v>17</v>
      </c>
      <c r="E33" t="s">
        <v>10</v>
      </c>
      <c r="F33" t="s">
        <v>25</v>
      </c>
      <c r="G33">
        <v>1</v>
      </c>
      <c r="H33">
        <v>393.66</v>
      </c>
      <c r="I33">
        <v>0</v>
      </c>
      <c r="J33" t="s">
        <v>33</v>
      </c>
      <c r="K33" t="s">
        <v>87</v>
      </c>
      <c r="L33" t="s">
        <v>37</v>
      </c>
      <c r="M33" t="s">
        <v>178</v>
      </c>
    </row>
    <row r="34" spans="1:13" x14ac:dyDescent="0.3">
      <c r="A34" t="s">
        <v>179</v>
      </c>
      <c r="B34" t="s">
        <v>180</v>
      </c>
      <c r="C34" t="s">
        <v>103</v>
      </c>
      <c r="D34" t="s">
        <v>18</v>
      </c>
      <c r="E34" t="s">
        <v>5</v>
      </c>
      <c r="F34" t="s">
        <v>25</v>
      </c>
      <c r="G34">
        <v>2</v>
      </c>
      <c r="H34">
        <v>1074.8699999999999</v>
      </c>
      <c r="I34">
        <v>0</v>
      </c>
      <c r="J34" t="s">
        <v>31</v>
      </c>
      <c r="K34" t="s">
        <v>87</v>
      </c>
      <c r="L34" t="s">
        <v>37</v>
      </c>
      <c r="M34" t="s">
        <v>181</v>
      </c>
    </row>
    <row r="35" spans="1:13" x14ac:dyDescent="0.3">
      <c r="A35" t="s">
        <v>182</v>
      </c>
      <c r="B35" t="s">
        <v>183</v>
      </c>
      <c r="C35" t="s">
        <v>107</v>
      </c>
      <c r="D35" t="s">
        <v>18</v>
      </c>
      <c r="E35" t="s">
        <v>9</v>
      </c>
      <c r="F35" t="s">
        <v>27</v>
      </c>
      <c r="G35">
        <v>1</v>
      </c>
      <c r="H35">
        <v>197.43</v>
      </c>
      <c r="I35">
        <v>0</v>
      </c>
      <c r="J35" t="s">
        <v>31</v>
      </c>
      <c r="K35" t="s">
        <v>77</v>
      </c>
      <c r="L35" t="s">
        <v>39</v>
      </c>
      <c r="M35" t="s">
        <v>184</v>
      </c>
    </row>
    <row r="36" spans="1:13" x14ac:dyDescent="0.3">
      <c r="A36" t="s">
        <v>185</v>
      </c>
      <c r="B36" t="s">
        <v>75</v>
      </c>
      <c r="C36" t="s">
        <v>81</v>
      </c>
      <c r="D36" t="s">
        <v>18</v>
      </c>
      <c r="E36" t="s">
        <v>14</v>
      </c>
      <c r="F36" t="s">
        <v>28</v>
      </c>
      <c r="G36">
        <v>3</v>
      </c>
      <c r="H36">
        <v>61.48</v>
      </c>
      <c r="I36">
        <v>0</v>
      </c>
      <c r="J36" t="s">
        <v>30</v>
      </c>
      <c r="K36" t="s">
        <v>92</v>
      </c>
      <c r="L36" t="s">
        <v>37</v>
      </c>
      <c r="M36" t="s">
        <v>186</v>
      </c>
    </row>
    <row r="37" spans="1:13" x14ac:dyDescent="0.3">
      <c r="A37" t="s">
        <v>187</v>
      </c>
      <c r="B37" t="s">
        <v>188</v>
      </c>
      <c r="C37" t="s">
        <v>76</v>
      </c>
      <c r="D37" t="s">
        <v>16</v>
      </c>
      <c r="E37" t="s">
        <v>7</v>
      </c>
      <c r="F37" t="s">
        <v>27</v>
      </c>
      <c r="G37">
        <v>2</v>
      </c>
      <c r="H37">
        <v>419.97</v>
      </c>
      <c r="I37">
        <v>0</v>
      </c>
      <c r="J37" t="s">
        <v>30</v>
      </c>
      <c r="K37" t="s">
        <v>92</v>
      </c>
      <c r="L37" t="s">
        <v>37</v>
      </c>
      <c r="M37" t="s">
        <v>189</v>
      </c>
    </row>
    <row r="38" spans="1:13" x14ac:dyDescent="0.3">
      <c r="A38" t="s">
        <v>190</v>
      </c>
      <c r="B38" t="s">
        <v>191</v>
      </c>
      <c r="C38" t="s">
        <v>127</v>
      </c>
      <c r="D38" t="s">
        <v>19</v>
      </c>
      <c r="E38" t="s">
        <v>5</v>
      </c>
      <c r="F38" t="s">
        <v>25</v>
      </c>
      <c r="G38">
        <v>1</v>
      </c>
      <c r="H38">
        <v>1028.03</v>
      </c>
      <c r="I38">
        <v>0</v>
      </c>
      <c r="J38" t="s">
        <v>32</v>
      </c>
      <c r="K38" t="s">
        <v>82</v>
      </c>
      <c r="L38" t="s">
        <v>39</v>
      </c>
      <c r="M38" t="s">
        <v>192</v>
      </c>
    </row>
    <row r="39" spans="1:13" x14ac:dyDescent="0.3">
      <c r="A39" t="s">
        <v>193</v>
      </c>
      <c r="B39" t="s">
        <v>194</v>
      </c>
      <c r="C39" t="s">
        <v>114</v>
      </c>
      <c r="D39" t="s">
        <v>20</v>
      </c>
      <c r="E39" t="s">
        <v>10</v>
      </c>
      <c r="F39" t="s">
        <v>25</v>
      </c>
      <c r="G39">
        <v>2</v>
      </c>
      <c r="H39">
        <v>315.14999999999998</v>
      </c>
      <c r="I39">
        <v>15</v>
      </c>
      <c r="J39" t="s">
        <v>30</v>
      </c>
      <c r="K39" t="s">
        <v>87</v>
      </c>
      <c r="L39" t="s">
        <v>37</v>
      </c>
      <c r="M39" t="s">
        <v>195</v>
      </c>
    </row>
    <row r="40" spans="1:13" x14ac:dyDescent="0.3">
      <c r="A40" t="s">
        <v>196</v>
      </c>
      <c r="B40" t="s">
        <v>197</v>
      </c>
      <c r="C40" t="s">
        <v>91</v>
      </c>
      <c r="D40" t="s">
        <v>19</v>
      </c>
      <c r="E40" t="s">
        <v>14</v>
      </c>
      <c r="F40" t="s">
        <v>28</v>
      </c>
      <c r="G40">
        <v>2</v>
      </c>
      <c r="H40">
        <v>58.67</v>
      </c>
      <c r="I40">
        <v>0</v>
      </c>
      <c r="J40" t="s">
        <v>31</v>
      </c>
      <c r="K40" t="s">
        <v>77</v>
      </c>
      <c r="L40" t="s">
        <v>39</v>
      </c>
      <c r="M40" t="s">
        <v>118</v>
      </c>
    </row>
    <row r="41" spans="1:13" x14ac:dyDescent="0.3">
      <c r="A41" t="s">
        <v>198</v>
      </c>
      <c r="B41" t="s">
        <v>199</v>
      </c>
      <c r="C41" t="s">
        <v>91</v>
      </c>
      <c r="D41" t="s">
        <v>21</v>
      </c>
      <c r="E41" t="s">
        <v>8</v>
      </c>
      <c r="F41" t="s">
        <v>25</v>
      </c>
      <c r="G41">
        <v>2</v>
      </c>
      <c r="H41">
        <v>633.9</v>
      </c>
      <c r="I41">
        <v>5</v>
      </c>
      <c r="J41" t="s">
        <v>30</v>
      </c>
      <c r="K41" t="s">
        <v>77</v>
      </c>
      <c r="L41" t="s">
        <v>37</v>
      </c>
      <c r="M41" t="s">
        <v>200</v>
      </c>
    </row>
    <row r="42" spans="1:13" x14ac:dyDescent="0.3">
      <c r="A42" t="s">
        <v>201</v>
      </c>
      <c r="B42" t="s">
        <v>202</v>
      </c>
      <c r="C42" t="s">
        <v>91</v>
      </c>
      <c r="D42" t="s">
        <v>19</v>
      </c>
      <c r="E42" t="s">
        <v>11</v>
      </c>
      <c r="F42" t="s">
        <v>26</v>
      </c>
      <c r="G42">
        <v>2</v>
      </c>
      <c r="H42">
        <v>154.16999999999999</v>
      </c>
      <c r="I42">
        <v>15</v>
      </c>
      <c r="J42" t="s">
        <v>30</v>
      </c>
      <c r="K42" t="s">
        <v>92</v>
      </c>
      <c r="L42" t="s">
        <v>37</v>
      </c>
      <c r="M42" t="s">
        <v>203</v>
      </c>
    </row>
    <row r="43" spans="1:13" x14ac:dyDescent="0.3">
      <c r="A43" t="s">
        <v>204</v>
      </c>
      <c r="B43" t="s">
        <v>205</v>
      </c>
      <c r="C43" t="s">
        <v>81</v>
      </c>
      <c r="D43" t="s">
        <v>18</v>
      </c>
      <c r="E43" t="s">
        <v>14</v>
      </c>
      <c r="F43" t="s">
        <v>28</v>
      </c>
      <c r="G43">
        <v>1</v>
      </c>
      <c r="H43">
        <v>52.24</v>
      </c>
      <c r="I43">
        <v>10</v>
      </c>
      <c r="J43" t="s">
        <v>33</v>
      </c>
      <c r="K43" t="s">
        <v>77</v>
      </c>
      <c r="L43" t="s">
        <v>37</v>
      </c>
      <c r="M43" t="s">
        <v>206</v>
      </c>
    </row>
    <row r="44" spans="1:13" x14ac:dyDescent="0.3">
      <c r="A44" t="s">
        <v>207</v>
      </c>
      <c r="B44" t="s">
        <v>208</v>
      </c>
      <c r="C44" t="s">
        <v>81</v>
      </c>
      <c r="D44" t="s">
        <v>21</v>
      </c>
      <c r="E44" t="s">
        <v>5</v>
      </c>
      <c r="F44" t="s">
        <v>25</v>
      </c>
      <c r="G44">
        <v>1</v>
      </c>
      <c r="H44">
        <v>1020.38</v>
      </c>
      <c r="I44">
        <v>15</v>
      </c>
      <c r="J44" t="s">
        <v>33</v>
      </c>
      <c r="K44" t="s">
        <v>92</v>
      </c>
      <c r="L44" t="s">
        <v>39</v>
      </c>
      <c r="M44" t="s">
        <v>169</v>
      </c>
    </row>
    <row r="45" spans="1:13" x14ac:dyDescent="0.3">
      <c r="A45" t="s">
        <v>209</v>
      </c>
      <c r="B45" t="s">
        <v>210</v>
      </c>
      <c r="C45" t="s">
        <v>107</v>
      </c>
      <c r="D45" t="s">
        <v>19</v>
      </c>
      <c r="E45" t="s">
        <v>9</v>
      </c>
      <c r="F45" t="s">
        <v>27</v>
      </c>
      <c r="G45">
        <v>1</v>
      </c>
      <c r="H45">
        <v>205.11</v>
      </c>
      <c r="I45">
        <v>0</v>
      </c>
      <c r="J45" t="s">
        <v>33</v>
      </c>
      <c r="K45" t="s">
        <v>77</v>
      </c>
      <c r="L45" t="s">
        <v>39</v>
      </c>
      <c r="M45" t="s">
        <v>211</v>
      </c>
    </row>
    <row r="46" spans="1:13" x14ac:dyDescent="0.3">
      <c r="A46" t="s">
        <v>212</v>
      </c>
      <c r="B46" t="s">
        <v>213</v>
      </c>
      <c r="C46" t="s">
        <v>127</v>
      </c>
      <c r="D46" t="s">
        <v>17</v>
      </c>
      <c r="E46" t="s">
        <v>11</v>
      </c>
      <c r="F46" t="s">
        <v>26</v>
      </c>
      <c r="G46">
        <v>2</v>
      </c>
      <c r="H46">
        <v>172.05</v>
      </c>
      <c r="I46">
        <v>10</v>
      </c>
      <c r="J46" t="s">
        <v>32</v>
      </c>
      <c r="K46" t="s">
        <v>77</v>
      </c>
      <c r="L46" t="s">
        <v>39</v>
      </c>
      <c r="M46" t="s">
        <v>214</v>
      </c>
    </row>
    <row r="47" spans="1:13" x14ac:dyDescent="0.3">
      <c r="A47" t="s">
        <v>215</v>
      </c>
      <c r="B47" t="s">
        <v>216</v>
      </c>
      <c r="C47" t="s">
        <v>99</v>
      </c>
      <c r="D47" t="s">
        <v>17</v>
      </c>
      <c r="E47" t="s">
        <v>11</v>
      </c>
      <c r="F47" t="s">
        <v>26</v>
      </c>
      <c r="G47">
        <v>1</v>
      </c>
      <c r="H47">
        <v>163.19</v>
      </c>
      <c r="I47">
        <v>0</v>
      </c>
      <c r="J47" t="s">
        <v>30</v>
      </c>
      <c r="K47" t="s">
        <v>77</v>
      </c>
      <c r="L47" t="s">
        <v>38</v>
      </c>
      <c r="M47" t="s">
        <v>217</v>
      </c>
    </row>
    <row r="48" spans="1:13" x14ac:dyDescent="0.3">
      <c r="A48" t="s">
        <v>218</v>
      </c>
      <c r="B48" t="s">
        <v>219</v>
      </c>
      <c r="C48" t="s">
        <v>103</v>
      </c>
      <c r="D48" t="s">
        <v>21</v>
      </c>
      <c r="E48" t="s">
        <v>14</v>
      </c>
      <c r="F48" t="s">
        <v>28</v>
      </c>
      <c r="G48">
        <v>1</v>
      </c>
      <c r="H48">
        <v>54.12</v>
      </c>
      <c r="I48">
        <v>5</v>
      </c>
      <c r="J48" t="s">
        <v>31</v>
      </c>
      <c r="K48" t="s">
        <v>82</v>
      </c>
      <c r="L48" t="s">
        <v>37</v>
      </c>
      <c r="M48" t="s">
        <v>220</v>
      </c>
    </row>
    <row r="49" spans="1:13" x14ac:dyDescent="0.3">
      <c r="A49" t="s">
        <v>221</v>
      </c>
      <c r="B49" t="s">
        <v>222</v>
      </c>
      <c r="C49" t="s">
        <v>81</v>
      </c>
      <c r="D49" t="s">
        <v>18</v>
      </c>
      <c r="E49" t="s">
        <v>6</v>
      </c>
      <c r="F49" t="s">
        <v>26</v>
      </c>
      <c r="G49">
        <v>1</v>
      </c>
      <c r="H49">
        <v>807.81</v>
      </c>
      <c r="I49">
        <v>5</v>
      </c>
      <c r="J49" t="s">
        <v>33</v>
      </c>
      <c r="K49" t="s">
        <v>77</v>
      </c>
      <c r="L49" t="s">
        <v>37</v>
      </c>
      <c r="M49" t="s">
        <v>223</v>
      </c>
    </row>
    <row r="50" spans="1:13" x14ac:dyDescent="0.3">
      <c r="A50" t="s">
        <v>224</v>
      </c>
      <c r="B50" t="s">
        <v>225</v>
      </c>
      <c r="C50" t="s">
        <v>121</v>
      </c>
      <c r="D50" t="s">
        <v>17</v>
      </c>
      <c r="E50" t="s">
        <v>10</v>
      </c>
      <c r="F50" t="s">
        <v>25</v>
      </c>
      <c r="G50">
        <v>4</v>
      </c>
      <c r="H50">
        <v>341.13</v>
      </c>
      <c r="I50">
        <v>15</v>
      </c>
      <c r="J50" t="s">
        <v>31</v>
      </c>
      <c r="K50" t="s">
        <v>77</v>
      </c>
      <c r="L50" t="s">
        <v>39</v>
      </c>
      <c r="M50" t="s">
        <v>136</v>
      </c>
    </row>
    <row r="51" spans="1:13" x14ac:dyDescent="0.3">
      <c r="A51" t="s">
        <v>226</v>
      </c>
      <c r="B51" t="s">
        <v>227</v>
      </c>
      <c r="C51" t="s">
        <v>103</v>
      </c>
      <c r="D51" t="s">
        <v>18</v>
      </c>
      <c r="E51" t="s">
        <v>14</v>
      </c>
      <c r="F51" t="s">
        <v>28</v>
      </c>
      <c r="G51">
        <v>1</v>
      </c>
      <c r="H51">
        <v>49.9</v>
      </c>
      <c r="I51">
        <v>0</v>
      </c>
      <c r="J51" t="s">
        <v>33</v>
      </c>
      <c r="K51" t="s">
        <v>77</v>
      </c>
      <c r="L51" t="s">
        <v>39</v>
      </c>
      <c r="M51" t="s">
        <v>228</v>
      </c>
    </row>
    <row r="52" spans="1:13" x14ac:dyDescent="0.3">
      <c r="A52" t="s">
        <v>229</v>
      </c>
      <c r="B52" t="s">
        <v>230</v>
      </c>
      <c r="C52" t="s">
        <v>91</v>
      </c>
      <c r="D52" t="s">
        <v>20</v>
      </c>
      <c r="E52" t="s">
        <v>7</v>
      </c>
      <c r="F52" t="s">
        <v>27</v>
      </c>
      <c r="G52">
        <v>1</v>
      </c>
      <c r="H52">
        <v>470.36</v>
      </c>
      <c r="I52">
        <v>5</v>
      </c>
      <c r="J52" t="s">
        <v>33</v>
      </c>
      <c r="K52" t="s">
        <v>92</v>
      </c>
      <c r="L52" t="s">
        <v>39</v>
      </c>
      <c r="M52" t="s">
        <v>184</v>
      </c>
    </row>
    <row r="53" spans="1:13" x14ac:dyDescent="0.3">
      <c r="A53" t="s">
        <v>231</v>
      </c>
      <c r="B53" t="s">
        <v>177</v>
      </c>
      <c r="C53" t="s">
        <v>81</v>
      </c>
      <c r="D53" t="s">
        <v>21</v>
      </c>
      <c r="E53" t="s">
        <v>9</v>
      </c>
      <c r="F53" t="s">
        <v>27</v>
      </c>
      <c r="G53">
        <v>2</v>
      </c>
      <c r="H53">
        <v>197.16</v>
      </c>
      <c r="I53">
        <v>20</v>
      </c>
      <c r="J53" t="s">
        <v>33</v>
      </c>
      <c r="K53" t="s">
        <v>82</v>
      </c>
      <c r="L53" t="s">
        <v>37</v>
      </c>
      <c r="M53" t="s">
        <v>232</v>
      </c>
    </row>
    <row r="54" spans="1:13" x14ac:dyDescent="0.3">
      <c r="A54" t="s">
        <v>233</v>
      </c>
      <c r="B54" t="s">
        <v>234</v>
      </c>
      <c r="C54" t="s">
        <v>91</v>
      </c>
      <c r="D54" t="s">
        <v>16</v>
      </c>
      <c r="E54" t="s">
        <v>8</v>
      </c>
      <c r="F54" t="s">
        <v>25</v>
      </c>
      <c r="G54">
        <v>1</v>
      </c>
      <c r="H54">
        <v>603.59</v>
      </c>
      <c r="I54">
        <v>0</v>
      </c>
      <c r="J54" t="s">
        <v>33</v>
      </c>
      <c r="K54" t="s">
        <v>82</v>
      </c>
      <c r="L54" t="s">
        <v>39</v>
      </c>
      <c r="M54" t="s">
        <v>235</v>
      </c>
    </row>
    <row r="55" spans="1:13" x14ac:dyDescent="0.3">
      <c r="A55" t="s">
        <v>236</v>
      </c>
      <c r="B55" t="s">
        <v>237</v>
      </c>
      <c r="C55" t="s">
        <v>81</v>
      </c>
      <c r="D55" t="s">
        <v>22</v>
      </c>
      <c r="E55" t="s">
        <v>12</v>
      </c>
      <c r="F55" t="s">
        <v>25</v>
      </c>
      <c r="G55">
        <v>2</v>
      </c>
      <c r="H55">
        <v>135.87</v>
      </c>
      <c r="I55">
        <v>10</v>
      </c>
      <c r="J55" t="s">
        <v>31</v>
      </c>
      <c r="K55" t="s">
        <v>92</v>
      </c>
      <c r="L55" t="s">
        <v>39</v>
      </c>
      <c r="M55" t="s">
        <v>238</v>
      </c>
    </row>
    <row r="56" spans="1:13" x14ac:dyDescent="0.3">
      <c r="A56" t="s">
        <v>239</v>
      </c>
      <c r="B56" t="s">
        <v>240</v>
      </c>
      <c r="C56" t="s">
        <v>121</v>
      </c>
      <c r="D56" t="s">
        <v>18</v>
      </c>
      <c r="E56" t="s">
        <v>5</v>
      </c>
      <c r="F56" t="s">
        <v>25</v>
      </c>
      <c r="G56">
        <v>3</v>
      </c>
      <c r="H56">
        <v>1044.0999999999999</v>
      </c>
      <c r="I56">
        <v>15</v>
      </c>
      <c r="J56" t="s">
        <v>30</v>
      </c>
      <c r="K56" t="s">
        <v>92</v>
      </c>
      <c r="L56" t="s">
        <v>37</v>
      </c>
      <c r="M56" t="s">
        <v>241</v>
      </c>
    </row>
    <row r="57" spans="1:13" x14ac:dyDescent="0.3">
      <c r="A57" t="s">
        <v>242</v>
      </c>
      <c r="B57" t="s">
        <v>243</v>
      </c>
      <c r="C57" t="s">
        <v>114</v>
      </c>
      <c r="D57" t="s">
        <v>16</v>
      </c>
      <c r="E57" t="s">
        <v>7</v>
      </c>
      <c r="F57" t="s">
        <v>27</v>
      </c>
      <c r="G57">
        <v>1</v>
      </c>
      <c r="H57">
        <v>422.11</v>
      </c>
      <c r="I57">
        <v>15</v>
      </c>
      <c r="J57" t="s">
        <v>32</v>
      </c>
      <c r="K57" t="s">
        <v>82</v>
      </c>
      <c r="L57" t="s">
        <v>37</v>
      </c>
      <c r="M57" t="s">
        <v>244</v>
      </c>
    </row>
    <row r="58" spans="1:13" x14ac:dyDescent="0.3">
      <c r="A58" t="s">
        <v>245</v>
      </c>
      <c r="B58" t="s">
        <v>246</v>
      </c>
      <c r="C58" t="s">
        <v>121</v>
      </c>
      <c r="D58" t="s">
        <v>18</v>
      </c>
      <c r="E58" t="s">
        <v>8</v>
      </c>
      <c r="F58" t="s">
        <v>25</v>
      </c>
      <c r="G58">
        <v>2</v>
      </c>
      <c r="H58">
        <v>741.89</v>
      </c>
      <c r="I58">
        <v>5</v>
      </c>
      <c r="J58" t="s">
        <v>32</v>
      </c>
      <c r="K58" t="s">
        <v>87</v>
      </c>
      <c r="L58" t="s">
        <v>38</v>
      </c>
      <c r="M58" t="s">
        <v>247</v>
      </c>
    </row>
    <row r="59" spans="1:13" x14ac:dyDescent="0.3">
      <c r="A59" t="s">
        <v>248</v>
      </c>
      <c r="B59" t="s">
        <v>249</v>
      </c>
      <c r="C59" t="s">
        <v>91</v>
      </c>
      <c r="D59" t="s">
        <v>16</v>
      </c>
      <c r="E59" t="s">
        <v>11</v>
      </c>
      <c r="F59" t="s">
        <v>26</v>
      </c>
      <c r="G59">
        <v>3</v>
      </c>
      <c r="H59">
        <v>141.82</v>
      </c>
      <c r="I59">
        <v>0</v>
      </c>
      <c r="J59" t="s">
        <v>30</v>
      </c>
      <c r="K59" t="s">
        <v>92</v>
      </c>
      <c r="L59" t="s">
        <v>37</v>
      </c>
      <c r="M59" t="s">
        <v>250</v>
      </c>
    </row>
    <row r="60" spans="1:13" x14ac:dyDescent="0.3">
      <c r="A60" t="s">
        <v>251</v>
      </c>
      <c r="B60" t="s">
        <v>252</v>
      </c>
      <c r="C60" t="s">
        <v>99</v>
      </c>
      <c r="D60" t="s">
        <v>18</v>
      </c>
      <c r="E60" t="s">
        <v>12</v>
      </c>
      <c r="F60" t="s">
        <v>25</v>
      </c>
      <c r="G60">
        <v>1</v>
      </c>
      <c r="H60">
        <v>120.19</v>
      </c>
      <c r="I60">
        <v>20</v>
      </c>
      <c r="J60" t="s">
        <v>33</v>
      </c>
      <c r="K60" t="s">
        <v>92</v>
      </c>
      <c r="L60" t="s">
        <v>39</v>
      </c>
      <c r="M60" t="s">
        <v>122</v>
      </c>
    </row>
    <row r="61" spans="1:13" x14ac:dyDescent="0.3">
      <c r="A61" t="s">
        <v>253</v>
      </c>
      <c r="B61" t="s">
        <v>254</v>
      </c>
      <c r="C61" t="s">
        <v>121</v>
      </c>
      <c r="D61" t="s">
        <v>19</v>
      </c>
      <c r="E61" t="s">
        <v>9</v>
      </c>
      <c r="F61" t="s">
        <v>27</v>
      </c>
      <c r="G61">
        <v>1</v>
      </c>
      <c r="H61">
        <v>172.95</v>
      </c>
      <c r="I61">
        <v>0</v>
      </c>
      <c r="J61" t="s">
        <v>32</v>
      </c>
      <c r="K61" t="s">
        <v>87</v>
      </c>
      <c r="L61" t="s">
        <v>39</v>
      </c>
      <c r="M61" t="s">
        <v>255</v>
      </c>
    </row>
    <row r="62" spans="1:13" x14ac:dyDescent="0.3">
      <c r="A62" t="s">
        <v>256</v>
      </c>
      <c r="B62" t="s">
        <v>257</v>
      </c>
      <c r="C62" t="s">
        <v>91</v>
      </c>
      <c r="D62" t="s">
        <v>20</v>
      </c>
      <c r="E62" t="s">
        <v>11</v>
      </c>
      <c r="F62" t="s">
        <v>26</v>
      </c>
      <c r="G62">
        <v>1</v>
      </c>
      <c r="H62">
        <v>157.11000000000001</v>
      </c>
      <c r="I62">
        <v>20</v>
      </c>
      <c r="J62" t="s">
        <v>31</v>
      </c>
      <c r="K62" t="s">
        <v>87</v>
      </c>
      <c r="L62" t="s">
        <v>38</v>
      </c>
      <c r="M62" t="s">
        <v>258</v>
      </c>
    </row>
    <row r="63" spans="1:13" x14ac:dyDescent="0.3">
      <c r="A63" t="s">
        <v>259</v>
      </c>
      <c r="B63" t="s">
        <v>260</v>
      </c>
      <c r="C63" t="s">
        <v>91</v>
      </c>
      <c r="D63" t="s">
        <v>20</v>
      </c>
      <c r="E63" t="s">
        <v>7</v>
      </c>
      <c r="F63" t="s">
        <v>27</v>
      </c>
      <c r="G63">
        <v>1</v>
      </c>
      <c r="H63">
        <v>379.49</v>
      </c>
      <c r="I63">
        <v>0</v>
      </c>
      <c r="J63" t="s">
        <v>30</v>
      </c>
      <c r="K63" t="s">
        <v>82</v>
      </c>
      <c r="L63" t="s">
        <v>37</v>
      </c>
      <c r="M63" t="s">
        <v>261</v>
      </c>
    </row>
    <row r="64" spans="1:13" x14ac:dyDescent="0.3">
      <c r="A64" t="s">
        <v>262</v>
      </c>
      <c r="B64" t="s">
        <v>263</v>
      </c>
      <c r="C64" t="s">
        <v>99</v>
      </c>
      <c r="D64" t="s">
        <v>16</v>
      </c>
      <c r="E64" t="s">
        <v>12</v>
      </c>
      <c r="F64" t="s">
        <v>25</v>
      </c>
      <c r="G64">
        <v>3</v>
      </c>
      <c r="H64">
        <v>125.22</v>
      </c>
      <c r="I64">
        <v>0</v>
      </c>
      <c r="J64" t="s">
        <v>33</v>
      </c>
      <c r="K64" t="s">
        <v>87</v>
      </c>
      <c r="L64" t="s">
        <v>39</v>
      </c>
      <c r="M64" t="s">
        <v>223</v>
      </c>
    </row>
    <row r="65" spans="1:13" x14ac:dyDescent="0.3">
      <c r="A65" t="s">
        <v>264</v>
      </c>
      <c r="B65" t="s">
        <v>265</v>
      </c>
      <c r="C65" t="s">
        <v>107</v>
      </c>
      <c r="D65" t="s">
        <v>21</v>
      </c>
      <c r="E65" t="s">
        <v>12</v>
      </c>
      <c r="F65" t="s">
        <v>25</v>
      </c>
      <c r="G65">
        <v>3</v>
      </c>
      <c r="H65">
        <v>120.02</v>
      </c>
      <c r="I65">
        <v>0</v>
      </c>
      <c r="J65" t="s">
        <v>30</v>
      </c>
      <c r="K65" t="s">
        <v>92</v>
      </c>
      <c r="L65" t="s">
        <v>38</v>
      </c>
      <c r="M65" t="s">
        <v>266</v>
      </c>
    </row>
    <row r="66" spans="1:13" x14ac:dyDescent="0.3">
      <c r="A66" t="s">
        <v>267</v>
      </c>
      <c r="B66" t="s">
        <v>268</v>
      </c>
      <c r="C66" t="s">
        <v>114</v>
      </c>
      <c r="D66" t="s">
        <v>18</v>
      </c>
      <c r="E66" t="s">
        <v>12</v>
      </c>
      <c r="F66" t="s">
        <v>25</v>
      </c>
      <c r="G66">
        <v>2</v>
      </c>
      <c r="H66">
        <v>120.49</v>
      </c>
      <c r="I66">
        <v>5</v>
      </c>
      <c r="J66" t="s">
        <v>30</v>
      </c>
      <c r="K66" t="s">
        <v>77</v>
      </c>
      <c r="L66" t="s">
        <v>38</v>
      </c>
      <c r="M66" t="s">
        <v>269</v>
      </c>
    </row>
    <row r="67" spans="1:13" x14ac:dyDescent="0.3">
      <c r="A67" t="s">
        <v>270</v>
      </c>
      <c r="B67" t="s">
        <v>271</v>
      </c>
      <c r="C67" t="s">
        <v>81</v>
      </c>
      <c r="D67" t="s">
        <v>16</v>
      </c>
      <c r="E67" t="s">
        <v>5</v>
      </c>
      <c r="F67" t="s">
        <v>25</v>
      </c>
      <c r="G67">
        <v>2</v>
      </c>
      <c r="H67">
        <v>999.79</v>
      </c>
      <c r="I67">
        <v>15</v>
      </c>
      <c r="J67" t="s">
        <v>33</v>
      </c>
      <c r="K67" t="s">
        <v>82</v>
      </c>
      <c r="L67" t="s">
        <v>37</v>
      </c>
      <c r="M67" t="s">
        <v>232</v>
      </c>
    </row>
    <row r="68" spans="1:13" x14ac:dyDescent="0.3">
      <c r="A68" t="s">
        <v>272</v>
      </c>
      <c r="B68" t="s">
        <v>273</v>
      </c>
      <c r="C68" t="s">
        <v>127</v>
      </c>
      <c r="D68" t="s">
        <v>18</v>
      </c>
      <c r="E68" t="s">
        <v>8</v>
      </c>
      <c r="F68" t="s">
        <v>25</v>
      </c>
      <c r="G68">
        <v>2</v>
      </c>
      <c r="H68">
        <v>610.44000000000005</v>
      </c>
      <c r="I68">
        <v>0</v>
      </c>
      <c r="J68" t="s">
        <v>33</v>
      </c>
      <c r="K68" t="s">
        <v>82</v>
      </c>
      <c r="L68" t="s">
        <v>39</v>
      </c>
      <c r="M68" t="s">
        <v>274</v>
      </c>
    </row>
    <row r="69" spans="1:13" x14ac:dyDescent="0.3">
      <c r="A69" t="s">
        <v>275</v>
      </c>
      <c r="B69" t="s">
        <v>276</v>
      </c>
      <c r="C69" t="s">
        <v>127</v>
      </c>
      <c r="D69" t="s">
        <v>17</v>
      </c>
      <c r="E69" t="s">
        <v>14</v>
      </c>
      <c r="F69" t="s">
        <v>28</v>
      </c>
      <c r="G69">
        <v>2</v>
      </c>
      <c r="H69">
        <v>55.74</v>
      </c>
      <c r="I69">
        <v>20</v>
      </c>
      <c r="J69" t="s">
        <v>31</v>
      </c>
      <c r="K69" t="s">
        <v>77</v>
      </c>
      <c r="L69" t="s">
        <v>37</v>
      </c>
      <c r="M69" t="s">
        <v>277</v>
      </c>
    </row>
    <row r="70" spans="1:13" x14ac:dyDescent="0.3">
      <c r="A70" t="s">
        <v>278</v>
      </c>
      <c r="B70" t="s">
        <v>279</v>
      </c>
      <c r="C70" t="s">
        <v>76</v>
      </c>
      <c r="D70" t="s">
        <v>20</v>
      </c>
      <c r="E70" t="s">
        <v>13</v>
      </c>
      <c r="F70" t="s">
        <v>28</v>
      </c>
      <c r="G70">
        <v>1</v>
      </c>
      <c r="H70">
        <v>84.35</v>
      </c>
      <c r="I70">
        <v>0</v>
      </c>
      <c r="J70" t="s">
        <v>30</v>
      </c>
      <c r="K70" t="s">
        <v>87</v>
      </c>
      <c r="L70" t="s">
        <v>37</v>
      </c>
      <c r="M70" t="s">
        <v>280</v>
      </c>
    </row>
    <row r="71" spans="1:13" x14ac:dyDescent="0.3">
      <c r="A71" t="s">
        <v>281</v>
      </c>
      <c r="B71" t="s">
        <v>282</v>
      </c>
      <c r="C71" t="s">
        <v>121</v>
      </c>
      <c r="D71" t="s">
        <v>19</v>
      </c>
      <c r="E71" t="s">
        <v>12</v>
      </c>
      <c r="F71" t="s">
        <v>25</v>
      </c>
      <c r="G71">
        <v>1</v>
      </c>
      <c r="H71">
        <v>117.12</v>
      </c>
      <c r="I71">
        <v>5</v>
      </c>
      <c r="J71" t="s">
        <v>32</v>
      </c>
      <c r="K71" t="s">
        <v>92</v>
      </c>
      <c r="L71" t="s">
        <v>37</v>
      </c>
      <c r="M71" t="s">
        <v>283</v>
      </c>
    </row>
    <row r="72" spans="1:13" x14ac:dyDescent="0.3">
      <c r="A72" t="s">
        <v>284</v>
      </c>
      <c r="B72" t="s">
        <v>80</v>
      </c>
      <c r="C72" t="s">
        <v>81</v>
      </c>
      <c r="D72" t="s">
        <v>17</v>
      </c>
      <c r="E72" t="s">
        <v>6</v>
      </c>
      <c r="F72" t="s">
        <v>26</v>
      </c>
      <c r="G72">
        <v>2</v>
      </c>
      <c r="H72">
        <v>819.72</v>
      </c>
      <c r="I72">
        <v>20</v>
      </c>
      <c r="J72" t="s">
        <v>33</v>
      </c>
      <c r="K72" t="s">
        <v>87</v>
      </c>
      <c r="L72" t="s">
        <v>37</v>
      </c>
      <c r="M72" t="s">
        <v>283</v>
      </c>
    </row>
    <row r="73" spans="1:13" x14ac:dyDescent="0.3">
      <c r="A73" t="s">
        <v>285</v>
      </c>
      <c r="B73" t="s">
        <v>230</v>
      </c>
      <c r="C73" t="s">
        <v>127</v>
      </c>
      <c r="D73" t="s">
        <v>18</v>
      </c>
      <c r="E73" t="s">
        <v>8</v>
      </c>
      <c r="F73" t="s">
        <v>25</v>
      </c>
      <c r="G73">
        <v>1</v>
      </c>
      <c r="H73">
        <v>690.87</v>
      </c>
      <c r="I73">
        <v>15</v>
      </c>
      <c r="J73" t="s">
        <v>32</v>
      </c>
      <c r="K73" t="s">
        <v>92</v>
      </c>
      <c r="L73" t="s">
        <v>37</v>
      </c>
      <c r="M73" t="s">
        <v>286</v>
      </c>
    </row>
    <row r="74" spans="1:13" x14ac:dyDescent="0.3">
      <c r="A74" t="s">
        <v>287</v>
      </c>
      <c r="B74" t="s">
        <v>288</v>
      </c>
      <c r="C74" t="s">
        <v>86</v>
      </c>
      <c r="D74" t="s">
        <v>18</v>
      </c>
      <c r="E74" t="s">
        <v>7</v>
      </c>
      <c r="F74" t="s">
        <v>27</v>
      </c>
      <c r="G74">
        <v>1</v>
      </c>
      <c r="H74">
        <v>411.71</v>
      </c>
      <c r="I74">
        <v>15</v>
      </c>
      <c r="J74" t="s">
        <v>32</v>
      </c>
      <c r="K74" t="s">
        <v>87</v>
      </c>
      <c r="L74" t="s">
        <v>289</v>
      </c>
      <c r="M74" t="s">
        <v>108</v>
      </c>
    </row>
    <row r="75" spans="1:13" x14ac:dyDescent="0.3">
      <c r="A75" t="s">
        <v>290</v>
      </c>
      <c r="B75" t="s">
        <v>291</v>
      </c>
      <c r="C75" t="s">
        <v>76</v>
      </c>
      <c r="D75" t="s">
        <v>18</v>
      </c>
      <c r="E75" t="s">
        <v>13</v>
      </c>
      <c r="F75" t="s">
        <v>28</v>
      </c>
      <c r="G75">
        <v>1</v>
      </c>
      <c r="H75">
        <v>82.98</v>
      </c>
      <c r="I75">
        <v>20</v>
      </c>
      <c r="J75" t="s">
        <v>33</v>
      </c>
      <c r="K75" t="s">
        <v>77</v>
      </c>
      <c r="L75" t="s">
        <v>37</v>
      </c>
      <c r="M75" t="s">
        <v>181</v>
      </c>
    </row>
    <row r="76" spans="1:13" x14ac:dyDescent="0.3">
      <c r="A76" t="s">
        <v>292</v>
      </c>
      <c r="B76" t="s">
        <v>293</v>
      </c>
      <c r="C76" t="s">
        <v>91</v>
      </c>
      <c r="D76" t="s">
        <v>19</v>
      </c>
      <c r="E76" t="s">
        <v>11</v>
      </c>
      <c r="F76" t="s">
        <v>26</v>
      </c>
      <c r="G76">
        <v>1</v>
      </c>
      <c r="H76">
        <v>171.49</v>
      </c>
      <c r="I76">
        <v>0</v>
      </c>
      <c r="J76" t="s">
        <v>32</v>
      </c>
      <c r="K76" t="s">
        <v>92</v>
      </c>
      <c r="L76" t="s">
        <v>37</v>
      </c>
      <c r="M76" t="s">
        <v>294</v>
      </c>
    </row>
    <row r="77" spans="1:13" x14ac:dyDescent="0.3">
      <c r="A77" t="s">
        <v>295</v>
      </c>
      <c r="B77" t="s">
        <v>296</v>
      </c>
      <c r="C77" t="s">
        <v>91</v>
      </c>
      <c r="D77" t="s">
        <v>19</v>
      </c>
      <c r="E77" t="s">
        <v>12</v>
      </c>
      <c r="F77" t="s">
        <v>25</v>
      </c>
      <c r="G77">
        <v>1</v>
      </c>
      <c r="H77">
        <v>111.52</v>
      </c>
      <c r="I77">
        <v>15</v>
      </c>
      <c r="J77" t="s">
        <v>30</v>
      </c>
      <c r="K77" t="s">
        <v>77</v>
      </c>
      <c r="L77" t="s">
        <v>39</v>
      </c>
      <c r="M77" t="s">
        <v>297</v>
      </c>
    </row>
    <row r="78" spans="1:13" x14ac:dyDescent="0.3">
      <c r="A78" t="s">
        <v>298</v>
      </c>
      <c r="B78" t="s">
        <v>299</v>
      </c>
      <c r="C78" t="s">
        <v>127</v>
      </c>
      <c r="D78" t="s">
        <v>19</v>
      </c>
      <c r="E78" t="s">
        <v>11</v>
      </c>
      <c r="F78" t="s">
        <v>26</v>
      </c>
      <c r="G78">
        <v>1</v>
      </c>
      <c r="H78">
        <v>155.66999999999999</v>
      </c>
      <c r="I78">
        <v>15</v>
      </c>
      <c r="J78" t="s">
        <v>31</v>
      </c>
      <c r="K78" t="s">
        <v>92</v>
      </c>
      <c r="L78" t="s">
        <v>37</v>
      </c>
      <c r="M78" t="s">
        <v>300</v>
      </c>
    </row>
    <row r="79" spans="1:13" x14ac:dyDescent="0.3">
      <c r="A79" t="s">
        <v>301</v>
      </c>
      <c r="B79" t="s">
        <v>279</v>
      </c>
      <c r="C79" t="s">
        <v>91</v>
      </c>
      <c r="D79" t="s">
        <v>17</v>
      </c>
      <c r="E79" t="s">
        <v>6</v>
      </c>
      <c r="F79" t="s">
        <v>26</v>
      </c>
      <c r="G79">
        <v>1</v>
      </c>
      <c r="H79">
        <v>855.6</v>
      </c>
      <c r="I79">
        <v>0</v>
      </c>
      <c r="J79" t="s">
        <v>146</v>
      </c>
      <c r="K79" t="s">
        <v>82</v>
      </c>
      <c r="L79" t="s">
        <v>37</v>
      </c>
      <c r="M79" t="s">
        <v>83</v>
      </c>
    </row>
    <row r="80" spans="1:13" x14ac:dyDescent="0.3">
      <c r="A80" t="s">
        <v>302</v>
      </c>
      <c r="B80" t="s">
        <v>303</v>
      </c>
      <c r="C80" t="s">
        <v>86</v>
      </c>
      <c r="D80" t="s">
        <v>21</v>
      </c>
      <c r="E80" t="s">
        <v>13</v>
      </c>
      <c r="F80" t="s">
        <v>28</v>
      </c>
      <c r="G80">
        <v>2</v>
      </c>
      <c r="H80">
        <v>88.48</v>
      </c>
      <c r="I80">
        <v>15</v>
      </c>
      <c r="J80" t="s">
        <v>31</v>
      </c>
      <c r="K80" t="s">
        <v>77</v>
      </c>
      <c r="L80" t="s">
        <v>39</v>
      </c>
      <c r="M80" t="s">
        <v>304</v>
      </c>
    </row>
    <row r="81" spans="1:13" x14ac:dyDescent="0.3">
      <c r="A81" t="s">
        <v>305</v>
      </c>
      <c r="B81" t="s">
        <v>306</v>
      </c>
      <c r="C81" t="s">
        <v>103</v>
      </c>
      <c r="D81" t="s">
        <v>18</v>
      </c>
      <c r="E81" t="s">
        <v>6</v>
      </c>
      <c r="F81" t="s">
        <v>26</v>
      </c>
      <c r="G81">
        <v>1</v>
      </c>
      <c r="H81">
        <v>847.22</v>
      </c>
      <c r="I81">
        <v>0</v>
      </c>
      <c r="J81" t="s">
        <v>31</v>
      </c>
      <c r="K81" t="s">
        <v>87</v>
      </c>
      <c r="L81" t="s">
        <v>39</v>
      </c>
      <c r="M81" t="s">
        <v>147</v>
      </c>
    </row>
    <row r="82" spans="1:13" x14ac:dyDescent="0.3">
      <c r="A82" t="s">
        <v>307</v>
      </c>
      <c r="B82" t="s">
        <v>149</v>
      </c>
      <c r="C82" t="s">
        <v>114</v>
      </c>
      <c r="D82" t="s">
        <v>17</v>
      </c>
      <c r="E82" t="s">
        <v>11</v>
      </c>
      <c r="F82" t="s">
        <v>26</v>
      </c>
      <c r="G82">
        <v>1</v>
      </c>
      <c r="H82">
        <v>169.14</v>
      </c>
      <c r="I82">
        <v>0</v>
      </c>
      <c r="J82" t="s">
        <v>33</v>
      </c>
      <c r="K82" t="s">
        <v>77</v>
      </c>
      <c r="L82" t="s">
        <v>37</v>
      </c>
      <c r="M82" t="s">
        <v>111</v>
      </c>
    </row>
    <row r="83" spans="1:13" x14ac:dyDescent="0.3">
      <c r="A83" t="s">
        <v>308</v>
      </c>
      <c r="B83" t="s">
        <v>219</v>
      </c>
      <c r="C83" t="s">
        <v>121</v>
      </c>
      <c r="D83" t="s">
        <v>18</v>
      </c>
      <c r="E83" t="s">
        <v>7</v>
      </c>
      <c r="F83" t="s">
        <v>27</v>
      </c>
      <c r="G83">
        <v>2</v>
      </c>
      <c r="H83">
        <v>419.74</v>
      </c>
      <c r="I83">
        <v>0</v>
      </c>
      <c r="J83" t="s">
        <v>32</v>
      </c>
      <c r="K83" t="s">
        <v>92</v>
      </c>
      <c r="L83" t="s">
        <v>37</v>
      </c>
      <c r="M83" t="s">
        <v>22</v>
      </c>
    </row>
    <row r="84" spans="1:13" x14ac:dyDescent="0.3">
      <c r="A84" t="s">
        <v>309</v>
      </c>
      <c r="B84" t="s">
        <v>310</v>
      </c>
      <c r="C84" t="s">
        <v>114</v>
      </c>
      <c r="D84" t="s">
        <v>20</v>
      </c>
      <c r="E84" t="s">
        <v>9</v>
      </c>
      <c r="F84" t="s">
        <v>27</v>
      </c>
      <c r="G84">
        <v>2</v>
      </c>
      <c r="H84">
        <v>203.44</v>
      </c>
      <c r="I84">
        <v>20</v>
      </c>
      <c r="J84" t="s">
        <v>33</v>
      </c>
      <c r="K84" t="s">
        <v>77</v>
      </c>
      <c r="L84" t="s">
        <v>37</v>
      </c>
      <c r="M84" t="s">
        <v>311</v>
      </c>
    </row>
    <row r="85" spans="1:13" x14ac:dyDescent="0.3">
      <c r="A85" t="s">
        <v>312</v>
      </c>
      <c r="B85" t="s">
        <v>313</v>
      </c>
      <c r="C85" t="s">
        <v>86</v>
      </c>
      <c r="D85" t="s">
        <v>16</v>
      </c>
      <c r="E85" t="s">
        <v>14</v>
      </c>
      <c r="F85" t="s">
        <v>28</v>
      </c>
      <c r="G85">
        <v>4</v>
      </c>
      <c r="H85">
        <v>50.13</v>
      </c>
      <c r="I85">
        <v>5</v>
      </c>
      <c r="J85" t="s">
        <v>31</v>
      </c>
      <c r="K85" t="s">
        <v>82</v>
      </c>
      <c r="L85" t="s">
        <v>37</v>
      </c>
      <c r="M85" t="s">
        <v>181</v>
      </c>
    </row>
    <row r="86" spans="1:13" x14ac:dyDescent="0.3">
      <c r="A86" t="s">
        <v>314</v>
      </c>
      <c r="B86" t="s">
        <v>315</v>
      </c>
      <c r="C86" t="s">
        <v>99</v>
      </c>
      <c r="D86" t="s">
        <v>16</v>
      </c>
      <c r="E86" t="s">
        <v>9</v>
      </c>
      <c r="F86" t="s">
        <v>27</v>
      </c>
      <c r="G86">
        <v>1</v>
      </c>
      <c r="H86">
        <v>173.43</v>
      </c>
      <c r="I86">
        <v>15</v>
      </c>
      <c r="J86" t="s">
        <v>31</v>
      </c>
      <c r="K86" t="s">
        <v>92</v>
      </c>
      <c r="L86" t="s">
        <v>37</v>
      </c>
      <c r="M86" t="s">
        <v>200</v>
      </c>
    </row>
    <row r="87" spans="1:13" x14ac:dyDescent="0.3">
      <c r="A87" t="s">
        <v>316</v>
      </c>
      <c r="B87" t="s">
        <v>317</v>
      </c>
      <c r="C87" t="s">
        <v>99</v>
      </c>
      <c r="D87" t="s">
        <v>16</v>
      </c>
      <c r="E87" t="s">
        <v>7</v>
      </c>
      <c r="F87" t="s">
        <v>27</v>
      </c>
      <c r="G87">
        <v>5</v>
      </c>
      <c r="H87">
        <v>409.41</v>
      </c>
      <c r="I87">
        <v>0</v>
      </c>
      <c r="J87" t="s">
        <v>32</v>
      </c>
      <c r="K87" t="s">
        <v>77</v>
      </c>
      <c r="L87" t="s">
        <v>37</v>
      </c>
      <c r="M87" t="s">
        <v>189</v>
      </c>
    </row>
    <row r="88" spans="1:13" x14ac:dyDescent="0.3">
      <c r="A88" t="s">
        <v>318</v>
      </c>
      <c r="B88" t="s">
        <v>319</v>
      </c>
      <c r="C88" t="s">
        <v>107</v>
      </c>
      <c r="D88" t="s">
        <v>17</v>
      </c>
      <c r="E88" t="s">
        <v>9</v>
      </c>
      <c r="F88" t="s">
        <v>27</v>
      </c>
      <c r="G88">
        <v>1</v>
      </c>
      <c r="H88">
        <v>178.15</v>
      </c>
      <c r="I88">
        <v>5</v>
      </c>
      <c r="J88" t="s">
        <v>30</v>
      </c>
      <c r="K88" t="s">
        <v>92</v>
      </c>
      <c r="L88" t="s">
        <v>37</v>
      </c>
      <c r="M88" t="s">
        <v>320</v>
      </c>
    </row>
    <row r="89" spans="1:13" x14ac:dyDescent="0.3">
      <c r="A89" t="s">
        <v>321</v>
      </c>
      <c r="B89" t="s">
        <v>322</v>
      </c>
      <c r="C89" t="s">
        <v>127</v>
      </c>
      <c r="D89" t="s">
        <v>16</v>
      </c>
      <c r="E89" t="s">
        <v>5</v>
      </c>
      <c r="F89" t="s">
        <v>25</v>
      </c>
      <c r="G89">
        <v>2</v>
      </c>
      <c r="H89">
        <v>1052.8</v>
      </c>
      <c r="I89">
        <v>0</v>
      </c>
      <c r="J89" t="s">
        <v>31</v>
      </c>
      <c r="K89" t="s">
        <v>87</v>
      </c>
      <c r="L89" t="s">
        <v>37</v>
      </c>
      <c r="M89" t="s">
        <v>115</v>
      </c>
    </row>
    <row r="90" spans="1:13" x14ac:dyDescent="0.3">
      <c r="A90" t="s">
        <v>323</v>
      </c>
      <c r="B90" t="s">
        <v>324</v>
      </c>
      <c r="C90" t="s">
        <v>107</v>
      </c>
      <c r="D90" t="s">
        <v>19</v>
      </c>
      <c r="E90" t="s">
        <v>12</v>
      </c>
      <c r="F90" t="s">
        <v>25</v>
      </c>
      <c r="G90">
        <v>4</v>
      </c>
      <c r="H90">
        <v>127.39</v>
      </c>
      <c r="I90">
        <v>0</v>
      </c>
      <c r="J90" t="s">
        <v>31</v>
      </c>
      <c r="K90" t="s">
        <v>92</v>
      </c>
      <c r="L90" t="s">
        <v>39</v>
      </c>
      <c r="M90" t="s">
        <v>122</v>
      </c>
    </row>
    <row r="91" spans="1:13" x14ac:dyDescent="0.3">
      <c r="A91" t="s">
        <v>325</v>
      </c>
      <c r="B91" t="s">
        <v>326</v>
      </c>
      <c r="C91" t="s">
        <v>86</v>
      </c>
      <c r="D91" t="s">
        <v>19</v>
      </c>
      <c r="E91" t="s">
        <v>7</v>
      </c>
      <c r="F91" t="s">
        <v>27</v>
      </c>
      <c r="G91">
        <v>2</v>
      </c>
      <c r="H91">
        <v>396.44</v>
      </c>
      <c r="I91">
        <v>10</v>
      </c>
      <c r="J91" t="s">
        <v>30</v>
      </c>
      <c r="K91" t="s">
        <v>82</v>
      </c>
      <c r="L91" t="s">
        <v>38</v>
      </c>
      <c r="M91" t="s">
        <v>192</v>
      </c>
    </row>
    <row r="92" spans="1:13" x14ac:dyDescent="0.3">
      <c r="A92" t="s">
        <v>327</v>
      </c>
      <c r="B92" t="s">
        <v>328</v>
      </c>
      <c r="C92" t="s">
        <v>99</v>
      </c>
      <c r="D92" t="s">
        <v>20</v>
      </c>
      <c r="E92" t="s">
        <v>11</v>
      </c>
      <c r="F92" t="s">
        <v>26</v>
      </c>
      <c r="G92">
        <v>4</v>
      </c>
      <c r="H92">
        <v>146.07</v>
      </c>
      <c r="I92">
        <v>0</v>
      </c>
      <c r="J92" t="s">
        <v>31</v>
      </c>
      <c r="K92" t="s">
        <v>77</v>
      </c>
      <c r="L92" t="s">
        <v>37</v>
      </c>
      <c r="M92" t="s">
        <v>329</v>
      </c>
    </row>
    <row r="93" spans="1:13" x14ac:dyDescent="0.3">
      <c r="A93" t="s">
        <v>330</v>
      </c>
      <c r="B93" t="s">
        <v>331</v>
      </c>
      <c r="C93" t="s">
        <v>86</v>
      </c>
      <c r="D93" t="s">
        <v>17</v>
      </c>
      <c r="E93" t="s">
        <v>12</v>
      </c>
      <c r="F93" t="s">
        <v>25</v>
      </c>
      <c r="G93">
        <v>3</v>
      </c>
      <c r="H93">
        <v>108.42</v>
      </c>
      <c r="I93">
        <v>15</v>
      </c>
      <c r="J93" t="s">
        <v>30</v>
      </c>
      <c r="K93" t="s">
        <v>77</v>
      </c>
      <c r="L93" t="s">
        <v>39</v>
      </c>
      <c r="M93" t="s">
        <v>332</v>
      </c>
    </row>
    <row r="94" spans="1:13" x14ac:dyDescent="0.3">
      <c r="A94" t="s">
        <v>333</v>
      </c>
      <c r="B94" t="s">
        <v>197</v>
      </c>
      <c r="C94" t="s">
        <v>81</v>
      </c>
      <c r="D94" t="s">
        <v>17</v>
      </c>
      <c r="E94" t="s">
        <v>12</v>
      </c>
      <c r="F94" t="s">
        <v>25</v>
      </c>
      <c r="G94">
        <v>2</v>
      </c>
      <c r="H94">
        <v>122.14</v>
      </c>
      <c r="I94">
        <v>0</v>
      </c>
      <c r="J94" t="s">
        <v>32</v>
      </c>
      <c r="K94" t="s">
        <v>87</v>
      </c>
      <c r="L94" t="s">
        <v>38</v>
      </c>
      <c r="M94" t="s">
        <v>178</v>
      </c>
    </row>
    <row r="95" spans="1:13" x14ac:dyDescent="0.3">
      <c r="A95" t="s">
        <v>334</v>
      </c>
      <c r="B95" t="s">
        <v>335</v>
      </c>
      <c r="C95" t="s">
        <v>76</v>
      </c>
      <c r="D95" t="s">
        <v>20</v>
      </c>
      <c r="E95" t="s">
        <v>12</v>
      </c>
      <c r="F95" t="s">
        <v>25</v>
      </c>
      <c r="G95">
        <v>1</v>
      </c>
      <c r="H95">
        <v>136.38999999999999</v>
      </c>
      <c r="I95">
        <v>0</v>
      </c>
      <c r="J95" t="s">
        <v>31</v>
      </c>
      <c r="K95" t="s">
        <v>77</v>
      </c>
      <c r="L95" t="s">
        <v>39</v>
      </c>
      <c r="M95" t="s">
        <v>336</v>
      </c>
    </row>
    <row r="96" spans="1:13" x14ac:dyDescent="0.3">
      <c r="A96" t="s">
        <v>337</v>
      </c>
      <c r="B96" t="s">
        <v>338</v>
      </c>
      <c r="C96" t="s">
        <v>103</v>
      </c>
      <c r="D96" t="s">
        <v>18</v>
      </c>
      <c r="E96" t="s">
        <v>7</v>
      </c>
      <c r="F96" t="s">
        <v>27</v>
      </c>
      <c r="G96">
        <v>2</v>
      </c>
      <c r="H96">
        <v>456.03</v>
      </c>
      <c r="I96">
        <v>15</v>
      </c>
      <c r="J96" t="s">
        <v>33</v>
      </c>
      <c r="K96" t="s">
        <v>77</v>
      </c>
      <c r="L96" t="s">
        <v>38</v>
      </c>
      <c r="M96" t="s">
        <v>178</v>
      </c>
    </row>
    <row r="97" spans="1:13" x14ac:dyDescent="0.3">
      <c r="A97" t="s">
        <v>339</v>
      </c>
      <c r="B97" t="s">
        <v>340</v>
      </c>
      <c r="C97" t="s">
        <v>81</v>
      </c>
      <c r="D97" t="s">
        <v>16</v>
      </c>
      <c r="E97" t="s">
        <v>14</v>
      </c>
      <c r="F97" t="s">
        <v>28</v>
      </c>
      <c r="G97">
        <v>1</v>
      </c>
      <c r="H97">
        <v>54.59</v>
      </c>
      <c r="I97">
        <v>0</v>
      </c>
      <c r="J97" t="s">
        <v>30</v>
      </c>
      <c r="K97" t="s">
        <v>87</v>
      </c>
      <c r="L97" t="s">
        <v>39</v>
      </c>
      <c r="M97" t="s">
        <v>341</v>
      </c>
    </row>
    <row r="98" spans="1:13" x14ac:dyDescent="0.3">
      <c r="A98" t="s">
        <v>342</v>
      </c>
      <c r="B98" t="s">
        <v>343</v>
      </c>
      <c r="C98" t="s">
        <v>81</v>
      </c>
      <c r="D98" t="s">
        <v>17</v>
      </c>
      <c r="E98" t="s">
        <v>6</v>
      </c>
      <c r="F98" t="s">
        <v>26</v>
      </c>
      <c r="G98">
        <v>1</v>
      </c>
      <c r="H98">
        <v>890.8</v>
      </c>
      <c r="I98">
        <v>15</v>
      </c>
      <c r="J98" t="s">
        <v>33</v>
      </c>
      <c r="K98" t="s">
        <v>92</v>
      </c>
      <c r="L98" t="s">
        <v>37</v>
      </c>
      <c r="M98" t="s">
        <v>344</v>
      </c>
    </row>
    <row r="99" spans="1:13" x14ac:dyDescent="0.3">
      <c r="A99" t="s">
        <v>345</v>
      </c>
      <c r="B99" t="s">
        <v>346</v>
      </c>
      <c r="C99" t="s">
        <v>121</v>
      </c>
      <c r="D99" t="s">
        <v>21</v>
      </c>
      <c r="E99" t="s">
        <v>9</v>
      </c>
      <c r="F99" t="s">
        <v>27</v>
      </c>
      <c r="G99">
        <v>5</v>
      </c>
      <c r="H99">
        <v>197.41</v>
      </c>
      <c r="I99">
        <v>10</v>
      </c>
      <c r="J99" t="s">
        <v>30</v>
      </c>
      <c r="K99" t="s">
        <v>82</v>
      </c>
      <c r="L99" t="s">
        <v>37</v>
      </c>
      <c r="M99" t="s">
        <v>347</v>
      </c>
    </row>
    <row r="100" spans="1:13" x14ac:dyDescent="0.3">
      <c r="A100" t="s">
        <v>348</v>
      </c>
      <c r="B100" t="s">
        <v>216</v>
      </c>
      <c r="C100" t="s">
        <v>103</v>
      </c>
      <c r="D100" t="s">
        <v>19</v>
      </c>
      <c r="E100" t="s">
        <v>8</v>
      </c>
      <c r="F100" t="s">
        <v>25</v>
      </c>
      <c r="G100">
        <v>3</v>
      </c>
      <c r="H100">
        <v>681.85</v>
      </c>
      <c r="I100">
        <v>0</v>
      </c>
      <c r="J100" t="s">
        <v>31</v>
      </c>
      <c r="K100" t="s">
        <v>92</v>
      </c>
      <c r="L100" t="s">
        <v>37</v>
      </c>
      <c r="M100" t="s">
        <v>228</v>
      </c>
    </row>
    <row r="101" spans="1:13" x14ac:dyDescent="0.3">
      <c r="A101" t="s">
        <v>349</v>
      </c>
      <c r="B101" t="s">
        <v>180</v>
      </c>
      <c r="C101" t="s">
        <v>86</v>
      </c>
      <c r="D101" t="s">
        <v>20</v>
      </c>
      <c r="E101" t="s">
        <v>8</v>
      </c>
      <c r="F101" t="s">
        <v>25</v>
      </c>
      <c r="G101">
        <v>1</v>
      </c>
      <c r="H101">
        <v>744.11</v>
      </c>
      <c r="I101">
        <v>0</v>
      </c>
      <c r="J101" t="s">
        <v>30</v>
      </c>
      <c r="K101" t="s">
        <v>92</v>
      </c>
      <c r="L101" t="s">
        <v>38</v>
      </c>
      <c r="M101" t="s">
        <v>175</v>
      </c>
    </row>
    <row r="102" spans="1:13" x14ac:dyDescent="0.3">
      <c r="A102" t="s">
        <v>350</v>
      </c>
      <c r="B102" t="s">
        <v>351</v>
      </c>
      <c r="C102" t="s">
        <v>86</v>
      </c>
      <c r="D102" t="s">
        <v>19</v>
      </c>
      <c r="E102" t="s">
        <v>6</v>
      </c>
      <c r="F102" t="s">
        <v>26</v>
      </c>
      <c r="G102">
        <v>2</v>
      </c>
      <c r="H102">
        <v>847.4</v>
      </c>
      <c r="I102">
        <v>10</v>
      </c>
      <c r="J102" t="s">
        <v>33</v>
      </c>
      <c r="K102" t="s">
        <v>77</v>
      </c>
      <c r="L102" t="s">
        <v>39</v>
      </c>
      <c r="M102" t="s">
        <v>352</v>
      </c>
    </row>
    <row r="103" spans="1:13" x14ac:dyDescent="0.3">
      <c r="A103" t="s">
        <v>353</v>
      </c>
      <c r="B103" t="s">
        <v>354</v>
      </c>
      <c r="C103" t="s">
        <v>99</v>
      </c>
      <c r="D103" t="s">
        <v>17</v>
      </c>
      <c r="E103" t="s">
        <v>9</v>
      </c>
      <c r="F103" t="s">
        <v>27</v>
      </c>
      <c r="G103">
        <v>4</v>
      </c>
      <c r="H103">
        <v>163.95</v>
      </c>
      <c r="I103">
        <v>0</v>
      </c>
      <c r="J103" t="s">
        <v>33</v>
      </c>
      <c r="K103" t="s">
        <v>77</v>
      </c>
      <c r="L103" t="s">
        <v>37</v>
      </c>
      <c r="M103" t="s">
        <v>108</v>
      </c>
    </row>
    <row r="104" spans="1:13" x14ac:dyDescent="0.3">
      <c r="A104" t="s">
        <v>355</v>
      </c>
      <c r="B104" t="s">
        <v>340</v>
      </c>
      <c r="C104" t="s">
        <v>76</v>
      </c>
      <c r="D104" t="s">
        <v>16</v>
      </c>
      <c r="E104" t="s">
        <v>6</v>
      </c>
      <c r="F104" t="s">
        <v>26</v>
      </c>
      <c r="G104">
        <v>2</v>
      </c>
      <c r="H104">
        <v>797.6</v>
      </c>
      <c r="I104">
        <v>10</v>
      </c>
      <c r="J104" t="s">
        <v>31</v>
      </c>
      <c r="K104" t="s">
        <v>92</v>
      </c>
      <c r="L104" t="s">
        <v>37</v>
      </c>
      <c r="M104" t="s">
        <v>175</v>
      </c>
    </row>
    <row r="105" spans="1:13" x14ac:dyDescent="0.3">
      <c r="A105" t="s">
        <v>356</v>
      </c>
      <c r="B105" t="s">
        <v>357</v>
      </c>
      <c r="C105" t="s">
        <v>127</v>
      </c>
      <c r="D105" t="s">
        <v>19</v>
      </c>
      <c r="E105" t="s">
        <v>14</v>
      </c>
      <c r="F105" t="s">
        <v>28</v>
      </c>
      <c r="G105">
        <v>2</v>
      </c>
      <c r="H105">
        <v>57.55</v>
      </c>
      <c r="I105">
        <v>0</v>
      </c>
      <c r="J105" t="s">
        <v>32</v>
      </c>
      <c r="K105" t="s">
        <v>77</v>
      </c>
      <c r="L105" t="s">
        <v>39</v>
      </c>
      <c r="M105" t="s">
        <v>147</v>
      </c>
    </row>
    <row r="106" spans="1:13" x14ac:dyDescent="0.3">
      <c r="A106" t="s">
        <v>358</v>
      </c>
      <c r="B106" t="s">
        <v>359</v>
      </c>
      <c r="C106" t="s">
        <v>99</v>
      </c>
      <c r="D106" t="s">
        <v>21</v>
      </c>
      <c r="E106" t="s">
        <v>12</v>
      </c>
      <c r="F106" t="s">
        <v>25</v>
      </c>
      <c r="G106">
        <v>3</v>
      </c>
      <c r="H106">
        <v>127.53</v>
      </c>
      <c r="I106">
        <v>5</v>
      </c>
      <c r="J106" t="s">
        <v>30</v>
      </c>
      <c r="K106" t="s">
        <v>77</v>
      </c>
      <c r="L106" t="s">
        <v>39</v>
      </c>
      <c r="M106" t="s">
        <v>108</v>
      </c>
    </row>
    <row r="107" spans="1:13" x14ac:dyDescent="0.3">
      <c r="A107" t="s">
        <v>360</v>
      </c>
      <c r="B107" t="s">
        <v>191</v>
      </c>
      <c r="C107" t="s">
        <v>86</v>
      </c>
      <c r="D107" t="s">
        <v>21</v>
      </c>
      <c r="E107" t="s">
        <v>6</v>
      </c>
      <c r="F107" t="s">
        <v>26</v>
      </c>
      <c r="G107">
        <v>2</v>
      </c>
      <c r="H107">
        <v>762.95</v>
      </c>
      <c r="I107">
        <v>15</v>
      </c>
      <c r="J107" t="s">
        <v>32</v>
      </c>
      <c r="K107" t="s">
        <v>92</v>
      </c>
      <c r="L107" t="s">
        <v>37</v>
      </c>
      <c r="M107" t="s">
        <v>361</v>
      </c>
    </row>
    <row r="108" spans="1:13" x14ac:dyDescent="0.3">
      <c r="A108" t="s">
        <v>362</v>
      </c>
      <c r="B108" t="s">
        <v>363</v>
      </c>
      <c r="C108" t="s">
        <v>121</v>
      </c>
      <c r="D108" t="s">
        <v>20</v>
      </c>
      <c r="E108" t="s">
        <v>12</v>
      </c>
      <c r="F108" t="s">
        <v>25</v>
      </c>
      <c r="G108">
        <v>1</v>
      </c>
      <c r="H108">
        <v>110.9</v>
      </c>
      <c r="I108">
        <v>10</v>
      </c>
      <c r="J108" t="s">
        <v>30</v>
      </c>
      <c r="K108" t="s">
        <v>92</v>
      </c>
      <c r="L108" t="s">
        <v>37</v>
      </c>
      <c r="M108" t="s">
        <v>181</v>
      </c>
    </row>
    <row r="109" spans="1:13" x14ac:dyDescent="0.3">
      <c r="A109" t="s">
        <v>364</v>
      </c>
      <c r="B109" t="s">
        <v>133</v>
      </c>
      <c r="C109" t="s">
        <v>91</v>
      </c>
      <c r="D109" t="s">
        <v>19</v>
      </c>
      <c r="E109" t="s">
        <v>7</v>
      </c>
      <c r="F109" t="s">
        <v>27</v>
      </c>
      <c r="G109">
        <v>3</v>
      </c>
      <c r="H109">
        <v>476.82</v>
      </c>
      <c r="I109">
        <v>0</v>
      </c>
      <c r="J109" t="s">
        <v>30</v>
      </c>
      <c r="K109" t="s">
        <v>92</v>
      </c>
      <c r="L109" t="s">
        <v>37</v>
      </c>
      <c r="M109" t="s">
        <v>241</v>
      </c>
    </row>
    <row r="110" spans="1:13" x14ac:dyDescent="0.3">
      <c r="A110" t="s">
        <v>365</v>
      </c>
      <c r="B110" t="s">
        <v>183</v>
      </c>
      <c r="C110" t="s">
        <v>121</v>
      </c>
      <c r="D110" t="s">
        <v>16</v>
      </c>
      <c r="E110" t="s">
        <v>9</v>
      </c>
      <c r="F110" t="s">
        <v>27</v>
      </c>
      <c r="G110">
        <v>1</v>
      </c>
      <c r="H110">
        <v>183.7</v>
      </c>
      <c r="I110">
        <v>0</v>
      </c>
      <c r="J110" t="s">
        <v>30</v>
      </c>
      <c r="K110" t="s">
        <v>82</v>
      </c>
      <c r="L110" t="s">
        <v>37</v>
      </c>
      <c r="M110" t="s">
        <v>366</v>
      </c>
    </row>
    <row r="111" spans="1:13" x14ac:dyDescent="0.3">
      <c r="A111" t="s">
        <v>367</v>
      </c>
      <c r="B111" t="s">
        <v>80</v>
      </c>
      <c r="C111" t="s">
        <v>91</v>
      </c>
      <c r="D111" t="s">
        <v>20</v>
      </c>
      <c r="E111" t="s">
        <v>13</v>
      </c>
      <c r="F111" t="s">
        <v>28</v>
      </c>
      <c r="G111">
        <v>5</v>
      </c>
      <c r="H111">
        <v>99.41</v>
      </c>
      <c r="I111">
        <v>0</v>
      </c>
      <c r="J111" t="s">
        <v>30</v>
      </c>
      <c r="K111" t="s">
        <v>87</v>
      </c>
      <c r="L111" t="s">
        <v>38</v>
      </c>
      <c r="M111" t="s">
        <v>368</v>
      </c>
    </row>
    <row r="112" spans="1:13" x14ac:dyDescent="0.3">
      <c r="A112" t="s">
        <v>369</v>
      </c>
      <c r="B112" t="s">
        <v>370</v>
      </c>
      <c r="C112" t="s">
        <v>103</v>
      </c>
      <c r="D112" t="s">
        <v>17</v>
      </c>
      <c r="E112" t="s">
        <v>7</v>
      </c>
      <c r="F112" t="s">
        <v>27</v>
      </c>
      <c r="G112">
        <v>1</v>
      </c>
      <c r="H112">
        <v>469.34</v>
      </c>
      <c r="I112">
        <v>15</v>
      </c>
      <c r="J112" t="s">
        <v>33</v>
      </c>
      <c r="K112" t="s">
        <v>92</v>
      </c>
      <c r="L112" t="s">
        <v>37</v>
      </c>
      <c r="M112" t="s">
        <v>371</v>
      </c>
    </row>
    <row r="113" spans="1:13" x14ac:dyDescent="0.3">
      <c r="A113" t="s">
        <v>372</v>
      </c>
      <c r="B113" t="s">
        <v>373</v>
      </c>
      <c r="C113" t="s">
        <v>86</v>
      </c>
      <c r="D113" t="s">
        <v>19</v>
      </c>
      <c r="E113" t="s">
        <v>6</v>
      </c>
      <c r="F113" t="s">
        <v>26</v>
      </c>
      <c r="G113">
        <v>1</v>
      </c>
      <c r="H113">
        <v>768.47</v>
      </c>
      <c r="I113">
        <v>10</v>
      </c>
      <c r="J113" t="s">
        <v>33</v>
      </c>
      <c r="K113" t="s">
        <v>92</v>
      </c>
      <c r="L113" t="s">
        <v>37</v>
      </c>
      <c r="M113" t="s">
        <v>124</v>
      </c>
    </row>
    <row r="114" spans="1:13" x14ac:dyDescent="0.3">
      <c r="A114" t="s">
        <v>374</v>
      </c>
      <c r="B114" t="s">
        <v>219</v>
      </c>
      <c r="C114" t="s">
        <v>99</v>
      </c>
      <c r="D114" t="s">
        <v>17</v>
      </c>
      <c r="E114" t="s">
        <v>8</v>
      </c>
      <c r="F114" t="s">
        <v>25</v>
      </c>
      <c r="G114">
        <v>2</v>
      </c>
      <c r="H114">
        <v>593.09</v>
      </c>
      <c r="I114">
        <v>5</v>
      </c>
      <c r="J114" t="s">
        <v>32</v>
      </c>
      <c r="K114" t="s">
        <v>77</v>
      </c>
      <c r="L114" t="s">
        <v>37</v>
      </c>
      <c r="M114" t="s">
        <v>206</v>
      </c>
    </row>
    <row r="115" spans="1:13" x14ac:dyDescent="0.3">
      <c r="A115" t="s">
        <v>375</v>
      </c>
      <c r="B115" t="s">
        <v>90</v>
      </c>
      <c r="C115" t="s">
        <v>76</v>
      </c>
      <c r="D115" t="s">
        <v>16</v>
      </c>
      <c r="E115" t="s">
        <v>14</v>
      </c>
      <c r="F115" t="s">
        <v>28</v>
      </c>
      <c r="G115">
        <v>1</v>
      </c>
      <c r="H115">
        <v>56.54</v>
      </c>
      <c r="I115">
        <v>15</v>
      </c>
      <c r="J115" t="s">
        <v>32</v>
      </c>
      <c r="K115" t="s">
        <v>87</v>
      </c>
      <c r="L115" t="s">
        <v>39</v>
      </c>
      <c r="M115" t="s">
        <v>376</v>
      </c>
    </row>
    <row r="116" spans="1:13" x14ac:dyDescent="0.3">
      <c r="A116" t="s">
        <v>377</v>
      </c>
      <c r="B116" t="s">
        <v>378</v>
      </c>
      <c r="C116" t="s">
        <v>91</v>
      </c>
      <c r="D116" t="s">
        <v>21</v>
      </c>
      <c r="E116" t="s">
        <v>9</v>
      </c>
      <c r="F116" t="s">
        <v>27</v>
      </c>
      <c r="G116">
        <v>1</v>
      </c>
      <c r="H116">
        <v>188.97</v>
      </c>
      <c r="I116">
        <v>20</v>
      </c>
      <c r="J116" t="s">
        <v>31</v>
      </c>
      <c r="K116" t="s">
        <v>87</v>
      </c>
      <c r="L116" t="s">
        <v>37</v>
      </c>
      <c r="M116" t="s">
        <v>96</v>
      </c>
    </row>
    <row r="117" spans="1:13" x14ac:dyDescent="0.3">
      <c r="A117" t="s">
        <v>379</v>
      </c>
      <c r="B117" t="s">
        <v>380</v>
      </c>
      <c r="C117" t="s">
        <v>103</v>
      </c>
      <c r="D117" t="s">
        <v>18</v>
      </c>
      <c r="E117" t="s">
        <v>7</v>
      </c>
      <c r="F117" t="s">
        <v>27</v>
      </c>
      <c r="G117">
        <v>1</v>
      </c>
      <c r="H117">
        <v>430.23</v>
      </c>
      <c r="I117">
        <v>10</v>
      </c>
      <c r="J117" t="s">
        <v>31</v>
      </c>
      <c r="K117" t="s">
        <v>87</v>
      </c>
      <c r="L117" t="s">
        <v>37</v>
      </c>
      <c r="M117" t="s">
        <v>381</v>
      </c>
    </row>
    <row r="118" spans="1:13" x14ac:dyDescent="0.3">
      <c r="A118" t="s">
        <v>382</v>
      </c>
      <c r="B118" t="s">
        <v>383</v>
      </c>
      <c r="C118" t="s">
        <v>76</v>
      </c>
      <c r="D118" t="s">
        <v>16</v>
      </c>
      <c r="E118" t="s">
        <v>6</v>
      </c>
      <c r="F118" t="s">
        <v>26</v>
      </c>
      <c r="G118">
        <v>3</v>
      </c>
      <c r="H118">
        <v>710.25</v>
      </c>
      <c r="I118">
        <v>10</v>
      </c>
      <c r="J118" t="s">
        <v>32</v>
      </c>
      <c r="K118" t="s">
        <v>77</v>
      </c>
      <c r="L118" t="s">
        <v>39</v>
      </c>
      <c r="M118" t="s">
        <v>206</v>
      </c>
    </row>
    <row r="119" spans="1:13" x14ac:dyDescent="0.3">
      <c r="A119" t="s">
        <v>384</v>
      </c>
      <c r="B119" t="s">
        <v>357</v>
      </c>
      <c r="C119" t="s">
        <v>127</v>
      </c>
      <c r="D119" t="s">
        <v>18</v>
      </c>
      <c r="E119" t="s">
        <v>14</v>
      </c>
      <c r="F119" t="s">
        <v>28</v>
      </c>
      <c r="G119">
        <v>1</v>
      </c>
      <c r="H119">
        <v>49.79</v>
      </c>
      <c r="I119">
        <v>20</v>
      </c>
      <c r="J119" t="s">
        <v>30</v>
      </c>
      <c r="K119" t="s">
        <v>92</v>
      </c>
      <c r="L119" t="s">
        <v>37</v>
      </c>
      <c r="M119" t="s">
        <v>244</v>
      </c>
    </row>
    <row r="120" spans="1:13" x14ac:dyDescent="0.3">
      <c r="A120" t="s">
        <v>385</v>
      </c>
      <c r="B120" t="s">
        <v>257</v>
      </c>
      <c r="C120" t="s">
        <v>114</v>
      </c>
      <c r="D120" t="s">
        <v>16</v>
      </c>
      <c r="E120" t="s">
        <v>12</v>
      </c>
      <c r="F120" t="s">
        <v>25</v>
      </c>
      <c r="G120">
        <v>1</v>
      </c>
      <c r="H120">
        <v>125.67</v>
      </c>
      <c r="I120">
        <v>15</v>
      </c>
      <c r="J120" t="s">
        <v>30</v>
      </c>
      <c r="K120" t="s">
        <v>82</v>
      </c>
      <c r="L120" t="s">
        <v>37</v>
      </c>
      <c r="M120" t="s">
        <v>344</v>
      </c>
    </row>
    <row r="121" spans="1:13" x14ac:dyDescent="0.3">
      <c r="A121" t="s">
        <v>386</v>
      </c>
      <c r="B121" t="s">
        <v>126</v>
      </c>
      <c r="C121" t="s">
        <v>81</v>
      </c>
      <c r="D121" t="s">
        <v>16</v>
      </c>
      <c r="E121" t="s">
        <v>8</v>
      </c>
      <c r="F121" t="s">
        <v>25</v>
      </c>
      <c r="G121">
        <v>1</v>
      </c>
      <c r="H121">
        <v>687.9</v>
      </c>
      <c r="I121">
        <v>0</v>
      </c>
      <c r="J121" t="s">
        <v>31</v>
      </c>
      <c r="K121" t="s">
        <v>82</v>
      </c>
      <c r="L121" t="s">
        <v>38</v>
      </c>
      <c r="M121" t="s">
        <v>88</v>
      </c>
    </row>
    <row r="122" spans="1:13" x14ac:dyDescent="0.3">
      <c r="A122" t="s">
        <v>387</v>
      </c>
      <c r="B122" t="s">
        <v>296</v>
      </c>
      <c r="C122" t="s">
        <v>103</v>
      </c>
      <c r="D122" t="s">
        <v>17</v>
      </c>
      <c r="E122" t="s">
        <v>8</v>
      </c>
      <c r="F122" t="s">
        <v>25</v>
      </c>
      <c r="G122">
        <v>1</v>
      </c>
      <c r="H122">
        <v>613.19000000000005</v>
      </c>
      <c r="I122">
        <v>5</v>
      </c>
      <c r="J122" t="s">
        <v>32</v>
      </c>
      <c r="K122" t="s">
        <v>77</v>
      </c>
      <c r="L122" t="s">
        <v>37</v>
      </c>
      <c r="M122" t="s">
        <v>247</v>
      </c>
    </row>
    <row r="123" spans="1:13" x14ac:dyDescent="0.3">
      <c r="A123" t="s">
        <v>388</v>
      </c>
      <c r="B123" t="s">
        <v>389</v>
      </c>
      <c r="C123" t="s">
        <v>91</v>
      </c>
      <c r="D123" t="s">
        <v>19</v>
      </c>
      <c r="E123" t="s">
        <v>7</v>
      </c>
      <c r="F123" t="s">
        <v>27</v>
      </c>
      <c r="G123">
        <v>1</v>
      </c>
      <c r="H123">
        <v>385.17</v>
      </c>
      <c r="I123">
        <v>0</v>
      </c>
      <c r="J123" t="s">
        <v>30</v>
      </c>
      <c r="K123" t="s">
        <v>92</v>
      </c>
      <c r="L123" t="s">
        <v>37</v>
      </c>
      <c r="M123" t="s">
        <v>235</v>
      </c>
    </row>
    <row r="124" spans="1:13" x14ac:dyDescent="0.3">
      <c r="A124" t="s">
        <v>390</v>
      </c>
      <c r="B124" t="s">
        <v>322</v>
      </c>
      <c r="C124" t="s">
        <v>76</v>
      </c>
      <c r="D124" t="s">
        <v>19</v>
      </c>
      <c r="E124" t="s">
        <v>11</v>
      </c>
      <c r="F124" t="s">
        <v>26</v>
      </c>
      <c r="G124">
        <v>1</v>
      </c>
      <c r="H124">
        <v>137.13</v>
      </c>
      <c r="I124">
        <v>10</v>
      </c>
      <c r="J124" t="s">
        <v>32</v>
      </c>
      <c r="K124" t="s">
        <v>77</v>
      </c>
      <c r="L124" t="s">
        <v>37</v>
      </c>
      <c r="M124" t="s">
        <v>283</v>
      </c>
    </row>
    <row r="125" spans="1:13" x14ac:dyDescent="0.3">
      <c r="A125" t="s">
        <v>391</v>
      </c>
      <c r="B125" t="s">
        <v>392</v>
      </c>
      <c r="C125" t="s">
        <v>103</v>
      </c>
      <c r="D125" t="s">
        <v>20</v>
      </c>
      <c r="E125" t="s">
        <v>12</v>
      </c>
      <c r="F125" t="s">
        <v>25</v>
      </c>
      <c r="G125">
        <v>3</v>
      </c>
      <c r="H125">
        <v>133.12</v>
      </c>
      <c r="I125">
        <v>0</v>
      </c>
      <c r="J125" t="s">
        <v>32</v>
      </c>
      <c r="K125" t="s">
        <v>77</v>
      </c>
      <c r="L125" t="s">
        <v>38</v>
      </c>
      <c r="M125" t="s">
        <v>22</v>
      </c>
    </row>
    <row r="126" spans="1:13" x14ac:dyDescent="0.3">
      <c r="A126" t="s">
        <v>393</v>
      </c>
      <c r="B126" t="s">
        <v>394</v>
      </c>
      <c r="C126" t="s">
        <v>127</v>
      </c>
      <c r="D126" t="s">
        <v>20</v>
      </c>
      <c r="E126" t="s">
        <v>7</v>
      </c>
      <c r="F126" t="s">
        <v>27</v>
      </c>
      <c r="G126">
        <v>1</v>
      </c>
      <c r="H126">
        <v>407.7</v>
      </c>
      <c r="I126">
        <v>20</v>
      </c>
      <c r="J126" t="s">
        <v>30</v>
      </c>
      <c r="K126" t="s">
        <v>92</v>
      </c>
      <c r="L126" t="s">
        <v>37</v>
      </c>
      <c r="M126" t="s">
        <v>347</v>
      </c>
    </row>
    <row r="127" spans="1:13" x14ac:dyDescent="0.3">
      <c r="A127" t="s">
        <v>395</v>
      </c>
      <c r="B127" t="s">
        <v>291</v>
      </c>
      <c r="C127" t="s">
        <v>103</v>
      </c>
      <c r="D127" t="s">
        <v>16</v>
      </c>
      <c r="E127" t="s">
        <v>12</v>
      </c>
      <c r="F127" t="s">
        <v>25</v>
      </c>
      <c r="G127">
        <v>2</v>
      </c>
      <c r="H127">
        <v>119.6</v>
      </c>
      <c r="I127">
        <v>0</v>
      </c>
      <c r="J127" t="s">
        <v>31</v>
      </c>
      <c r="K127" t="s">
        <v>87</v>
      </c>
      <c r="L127" t="s">
        <v>38</v>
      </c>
      <c r="M127" t="s">
        <v>235</v>
      </c>
    </row>
    <row r="128" spans="1:13" x14ac:dyDescent="0.3">
      <c r="A128" t="s">
        <v>396</v>
      </c>
      <c r="B128" t="s">
        <v>392</v>
      </c>
      <c r="C128" t="s">
        <v>121</v>
      </c>
      <c r="D128" t="s">
        <v>18</v>
      </c>
      <c r="E128" t="s">
        <v>6</v>
      </c>
      <c r="F128" t="s">
        <v>26</v>
      </c>
      <c r="G128">
        <v>1</v>
      </c>
      <c r="H128">
        <v>840.22</v>
      </c>
      <c r="I128">
        <v>15</v>
      </c>
      <c r="J128" t="s">
        <v>30</v>
      </c>
      <c r="K128" t="s">
        <v>82</v>
      </c>
      <c r="L128" t="s">
        <v>37</v>
      </c>
      <c r="M128" t="s">
        <v>361</v>
      </c>
    </row>
    <row r="129" spans="1:13" x14ac:dyDescent="0.3">
      <c r="A129" t="s">
        <v>397</v>
      </c>
      <c r="B129" t="s">
        <v>324</v>
      </c>
      <c r="C129" t="s">
        <v>81</v>
      </c>
      <c r="D129" t="s">
        <v>16</v>
      </c>
      <c r="E129" t="s">
        <v>6</v>
      </c>
      <c r="F129" t="s">
        <v>26</v>
      </c>
      <c r="G129">
        <v>2</v>
      </c>
      <c r="H129">
        <v>705.55</v>
      </c>
      <c r="I129">
        <v>20</v>
      </c>
      <c r="J129" t="s">
        <v>32</v>
      </c>
      <c r="K129" t="s">
        <v>82</v>
      </c>
      <c r="L129" t="s">
        <v>37</v>
      </c>
      <c r="M129" t="s">
        <v>294</v>
      </c>
    </row>
    <row r="130" spans="1:13" x14ac:dyDescent="0.3">
      <c r="A130" t="s">
        <v>398</v>
      </c>
      <c r="B130" t="s">
        <v>399</v>
      </c>
      <c r="C130" t="s">
        <v>121</v>
      </c>
      <c r="D130" t="s">
        <v>17</v>
      </c>
      <c r="E130" t="s">
        <v>8</v>
      </c>
      <c r="F130" t="s">
        <v>25</v>
      </c>
      <c r="G130">
        <v>1</v>
      </c>
      <c r="H130">
        <v>633.07000000000005</v>
      </c>
      <c r="I130">
        <v>10</v>
      </c>
      <c r="J130" t="s">
        <v>33</v>
      </c>
      <c r="K130" t="s">
        <v>87</v>
      </c>
      <c r="L130" t="s">
        <v>38</v>
      </c>
      <c r="M130" t="s">
        <v>400</v>
      </c>
    </row>
    <row r="131" spans="1:13" x14ac:dyDescent="0.3">
      <c r="A131" t="s">
        <v>401</v>
      </c>
      <c r="B131" t="s">
        <v>402</v>
      </c>
      <c r="C131" t="s">
        <v>107</v>
      </c>
      <c r="D131" t="s">
        <v>18</v>
      </c>
      <c r="E131" t="s">
        <v>5</v>
      </c>
      <c r="F131" t="s">
        <v>25</v>
      </c>
      <c r="G131">
        <v>1</v>
      </c>
      <c r="H131">
        <v>893.53</v>
      </c>
      <c r="I131">
        <v>0</v>
      </c>
      <c r="J131" t="s">
        <v>31</v>
      </c>
      <c r="K131" t="s">
        <v>77</v>
      </c>
      <c r="L131" t="s">
        <v>39</v>
      </c>
      <c r="M131" t="s">
        <v>166</v>
      </c>
    </row>
    <row r="132" spans="1:13" x14ac:dyDescent="0.3">
      <c r="A132" t="s">
        <v>403</v>
      </c>
      <c r="B132" t="s">
        <v>263</v>
      </c>
      <c r="C132" t="s">
        <v>86</v>
      </c>
      <c r="D132" t="s">
        <v>17</v>
      </c>
      <c r="E132" t="s">
        <v>11</v>
      </c>
      <c r="F132" t="s">
        <v>26</v>
      </c>
      <c r="G132">
        <v>1</v>
      </c>
      <c r="H132">
        <v>143.97</v>
      </c>
      <c r="I132">
        <v>10</v>
      </c>
      <c r="J132" t="s">
        <v>32</v>
      </c>
      <c r="K132" t="s">
        <v>77</v>
      </c>
      <c r="L132" t="s">
        <v>37</v>
      </c>
      <c r="M132" t="s">
        <v>166</v>
      </c>
    </row>
    <row r="133" spans="1:13" x14ac:dyDescent="0.3">
      <c r="A133" t="s">
        <v>404</v>
      </c>
      <c r="B133" t="s">
        <v>405</v>
      </c>
      <c r="C133" t="s">
        <v>127</v>
      </c>
      <c r="D133" t="s">
        <v>21</v>
      </c>
      <c r="E133" t="s">
        <v>6</v>
      </c>
      <c r="F133" t="s">
        <v>26</v>
      </c>
      <c r="G133">
        <v>2</v>
      </c>
      <c r="H133">
        <v>783.64</v>
      </c>
      <c r="I133">
        <v>20</v>
      </c>
      <c r="J133" t="s">
        <v>30</v>
      </c>
      <c r="K133" t="s">
        <v>92</v>
      </c>
      <c r="L133" t="s">
        <v>37</v>
      </c>
      <c r="M133" t="s">
        <v>297</v>
      </c>
    </row>
    <row r="134" spans="1:13" x14ac:dyDescent="0.3">
      <c r="A134" t="s">
        <v>406</v>
      </c>
      <c r="B134" t="s">
        <v>407</v>
      </c>
      <c r="C134" t="s">
        <v>91</v>
      </c>
      <c r="D134" t="s">
        <v>20</v>
      </c>
      <c r="E134" t="s">
        <v>7</v>
      </c>
      <c r="F134" t="s">
        <v>27</v>
      </c>
      <c r="G134">
        <v>2</v>
      </c>
      <c r="H134">
        <v>388.77</v>
      </c>
      <c r="I134">
        <v>20</v>
      </c>
      <c r="J134" t="s">
        <v>31</v>
      </c>
      <c r="K134" t="s">
        <v>87</v>
      </c>
      <c r="L134" t="s">
        <v>37</v>
      </c>
      <c r="M134" t="s">
        <v>408</v>
      </c>
    </row>
    <row r="135" spans="1:13" x14ac:dyDescent="0.3">
      <c r="A135" t="s">
        <v>409</v>
      </c>
      <c r="B135" t="s">
        <v>410</v>
      </c>
      <c r="C135" t="s">
        <v>86</v>
      </c>
      <c r="D135" t="s">
        <v>20</v>
      </c>
      <c r="E135" t="s">
        <v>13</v>
      </c>
      <c r="F135" t="s">
        <v>28</v>
      </c>
      <c r="G135">
        <v>1</v>
      </c>
      <c r="H135">
        <v>90.84</v>
      </c>
      <c r="I135">
        <v>5</v>
      </c>
      <c r="J135" t="s">
        <v>33</v>
      </c>
      <c r="K135" t="s">
        <v>77</v>
      </c>
      <c r="L135" t="s">
        <v>39</v>
      </c>
      <c r="M135" t="s">
        <v>352</v>
      </c>
    </row>
    <row r="136" spans="1:13" x14ac:dyDescent="0.3">
      <c r="A136" t="s">
        <v>411</v>
      </c>
      <c r="B136" t="s">
        <v>412</v>
      </c>
      <c r="C136" t="s">
        <v>107</v>
      </c>
      <c r="D136" t="s">
        <v>16</v>
      </c>
      <c r="E136" t="s">
        <v>7</v>
      </c>
      <c r="F136" t="s">
        <v>27</v>
      </c>
      <c r="G136">
        <v>1</v>
      </c>
      <c r="H136">
        <v>482.43</v>
      </c>
      <c r="I136">
        <v>0</v>
      </c>
      <c r="J136" t="s">
        <v>30</v>
      </c>
      <c r="K136" t="s">
        <v>82</v>
      </c>
      <c r="L136" t="s">
        <v>37</v>
      </c>
      <c r="M136" t="s">
        <v>115</v>
      </c>
    </row>
    <row r="137" spans="1:13" x14ac:dyDescent="0.3">
      <c r="A137" t="s">
        <v>413</v>
      </c>
      <c r="B137" t="s">
        <v>414</v>
      </c>
      <c r="C137" t="s">
        <v>99</v>
      </c>
      <c r="D137" t="s">
        <v>19</v>
      </c>
      <c r="E137" t="s">
        <v>10</v>
      </c>
      <c r="F137" t="s">
        <v>25</v>
      </c>
      <c r="G137">
        <v>1</v>
      </c>
      <c r="H137">
        <v>387.6</v>
      </c>
      <c r="I137">
        <v>0</v>
      </c>
      <c r="J137" t="s">
        <v>33</v>
      </c>
      <c r="K137" t="s">
        <v>92</v>
      </c>
      <c r="L137" t="s">
        <v>39</v>
      </c>
      <c r="M137" t="s">
        <v>192</v>
      </c>
    </row>
    <row r="138" spans="1:13" x14ac:dyDescent="0.3">
      <c r="A138" t="s">
        <v>415</v>
      </c>
      <c r="B138" t="s">
        <v>416</v>
      </c>
      <c r="C138" t="s">
        <v>76</v>
      </c>
      <c r="D138" t="s">
        <v>16</v>
      </c>
      <c r="E138" t="s">
        <v>9</v>
      </c>
      <c r="F138" t="s">
        <v>27</v>
      </c>
      <c r="G138">
        <v>3</v>
      </c>
      <c r="H138">
        <v>186.7</v>
      </c>
      <c r="I138">
        <v>0</v>
      </c>
      <c r="J138" t="s">
        <v>30</v>
      </c>
      <c r="K138" t="s">
        <v>92</v>
      </c>
      <c r="L138" t="s">
        <v>39</v>
      </c>
      <c r="M138" t="s">
        <v>320</v>
      </c>
    </row>
    <row r="139" spans="1:13" x14ac:dyDescent="0.3">
      <c r="A139" t="s">
        <v>417</v>
      </c>
      <c r="B139" t="s">
        <v>160</v>
      </c>
      <c r="C139" t="s">
        <v>76</v>
      </c>
      <c r="D139" t="s">
        <v>18</v>
      </c>
      <c r="E139" t="s">
        <v>9</v>
      </c>
      <c r="F139" t="s">
        <v>27</v>
      </c>
      <c r="G139">
        <v>1</v>
      </c>
      <c r="H139">
        <v>197.73</v>
      </c>
      <c r="I139">
        <v>10</v>
      </c>
      <c r="J139" t="s">
        <v>33</v>
      </c>
      <c r="K139" t="s">
        <v>82</v>
      </c>
      <c r="L139" t="s">
        <v>37</v>
      </c>
      <c r="M139" t="s">
        <v>418</v>
      </c>
    </row>
    <row r="140" spans="1:13" x14ac:dyDescent="0.3">
      <c r="A140" t="s">
        <v>419</v>
      </c>
      <c r="B140" t="s">
        <v>252</v>
      </c>
      <c r="C140" t="s">
        <v>114</v>
      </c>
      <c r="D140" t="s">
        <v>21</v>
      </c>
      <c r="E140" t="s">
        <v>14</v>
      </c>
      <c r="F140" t="s">
        <v>28</v>
      </c>
      <c r="G140">
        <v>1</v>
      </c>
      <c r="H140">
        <v>57.95</v>
      </c>
      <c r="I140">
        <v>15</v>
      </c>
      <c r="J140" t="s">
        <v>33</v>
      </c>
      <c r="K140" t="s">
        <v>87</v>
      </c>
      <c r="L140" t="s">
        <v>38</v>
      </c>
      <c r="M140" t="s">
        <v>420</v>
      </c>
    </row>
    <row r="141" spans="1:13" x14ac:dyDescent="0.3">
      <c r="A141" t="s">
        <v>421</v>
      </c>
      <c r="B141" t="s">
        <v>422</v>
      </c>
      <c r="C141" t="s">
        <v>107</v>
      </c>
      <c r="D141" t="s">
        <v>18</v>
      </c>
      <c r="E141" t="s">
        <v>13</v>
      </c>
      <c r="F141" t="s">
        <v>28</v>
      </c>
      <c r="G141">
        <v>2</v>
      </c>
      <c r="H141">
        <v>98.69</v>
      </c>
      <c r="I141">
        <v>20</v>
      </c>
      <c r="J141" t="s">
        <v>32</v>
      </c>
      <c r="K141" t="s">
        <v>92</v>
      </c>
      <c r="L141" t="s">
        <v>38</v>
      </c>
      <c r="M141" t="s">
        <v>423</v>
      </c>
    </row>
    <row r="142" spans="1:13" x14ac:dyDescent="0.3">
      <c r="A142" t="s">
        <v>424</v>
      </c>
      <c r="B142" t="s">
        <v>157</v>
      </c>
      <c r="C142" t="s">
        <v>81</v>
      </c>
      <c r="D142" t="s">
        <v>17</v>
      </c>
      <c r="E142" t="s">
        <v>7</v>
      </c>
      <c r="F142" t="s">
        <v>27</v>
      </c>
      <c r="G142">
        <v>1</v>
      </c>
      <c r="H142">
        <v>379.71</v>
      </c>
      <c r="I142">
        <v>15</v>
      </c>
      <c r="J142" t="s">
        <v>33</v>
      </c>
      <c r="K142" t="s">
        <v>87</v>
      </c>
      <c r="L142" t="s">
        <v>37</v>
      </c>
      <c r="M142" t="s">
        <v>211</v>
      </c>
    </row>
    <row r="143" spans="1:13" x14ac:dyDescent="0.3">
      <c r="A143" t="s">
        <v>425</v>
      </c>
      <c r="B143" t="s">
        <v>426</v>
      </c>
      <c r="C143" t="s">
        <v>99</v>
      </c>
      <c r="D143" t="s">
        <v>17</v>
      </c>
      <c r="E143" t="s">
        <v>10</v>
      </c>
      <c r="F143" t="s">
        <v>25</v>
      </c>
      <c r="G143">
        <v>1</v>
      </c>
      <c r="H143">
        <v>344.62</v>
      </c>
      <c r="I143">
        <v>0</v>
      </c>
      <c r="J143" t="s">
        <v>31</v>
      </c>
      <c r="K143" t="s">
        <v>92</v>
      </c>
      <c r="L143" t="s">
        <v>39</v>
      </c>
      <c r="M143" t="s">
        <v>427</v>
      </c>
    </row>
    <row r="144" spans="1:13" x14ac:dyDescent="0.3">
      <c r="A144" t="s">
        <v>428</v>
      </c>
      <c r="B144" t="s">
        <v>429</v>
      </c>
      <c r="C144" t="s">
        <v>86</v>
      </c>
      <c r="D144" t="s">
        <v>16</v>
      </c>
      <c r="E144" t="s">
        <v>10</v>
      </c>
      <c r="F144" t="s">
        <v>25</v>
      </c>
      <c r="G144">
        <v>1</v>
      </c>
      <c r="H144">
        <v>318.83</v>
      </c>
      <c r="I144">
        <v>10</v>
      </c>
      <c r="J144" t="s">
        <v>32</v>
      </c>
      <c r="K144" t="s">
        <v>77</v>
      </c>
      <c r="L144" t="s">
        <v>37</v>
      </c>
      <c r="M144" t="s">
        <v>430</v>
      </c>
    </row>
    <row r="145" spans="1:13" x14ac:dyDescent="0.3">
      <c r="A145" t="s">
        <v>431</v>
      </c>
      <c r="B145" t="s">
        <v>432</v>
      </c>
      <c r="C145" t="s">
        <v>86</v>
      </c>
      <c r="D145" t="s">
        <v>16</v>
      </c>
      <c r="E145" t="s">
        <v>10</v>
      </c>
      <c r="F145" t="s">
        <v>25</v>
      </c>
      <c r="G145">
        <v>2</v>
      </c>
      <c r="H145">
        <v>331.72</v>
      </c>
      <c r="I145">
        <v>0</v>
      </c>
      <c r="J145" t="s">
        <v>30</v>
      </c>
      <c r="K145" t="s">
        <v>77</v>
      </c>
      <c r="L145" t="s">
        <v>37</v>
      </c>
      <c r="M145" t="s">
        <v>108</v>
      </c>
    </row>
    <row r="146" spans="1:13" x14ac:dyDescent="0.3">
      <c r="A146" t="s">
        <v>433</v>
      </c>
      <c r="B146" t="s">
        <v>434</v>
      </c>
      <c r="C146" t="s">
        <v>99</v>
      </c>
      <c r="D146" t="s">
        <v>16</v>
      </c>
      <c r="E146" t="s">
        <v>11</v>
      </c>
      <c r="F146" t="s">
        <v>26</v>
      </c>
      <c r="G146">
        <v>3</v>
      </c>
      <c r="H146">
        <v>149.5</v>
      </c>
      <c r="I146">
        <v>20</v>
      </c>
      <c r="J146" t="s">
        <v>30</v>
      </c>
      <c r="K146" t="s">
        <v>92</v>
      </c>
      <c r="L146" t="s">
        <v>39</v>
      </c>
      <c r="M146" t="s">
        <v>169</v>
      </c>
    </row>
    <row r="147" spans="1:13" x14ac:dyDescent="0.3">
      <c r="A147" t="s">
        <v>435</v>
      </c>
      <c r="B147" t="s">
        <v>436</v>
      </c>
      <c r="C147" t="s">
        <v>91</v>
      </c>
      <c r="D147" t="s">
        <v>16</v>
      </c>
      <c r="E147" t="s">
        <v>12</v>
      </c>
      <c r="F147" t="s">
        <v>25</v>
      </c>
      <c r="G147">
        <v>1</v>
      </c>
      <c r="H147">
        <v>137.85</v>
      </c>
      <c r="I147">
        <v>0</v>
      </c>
      <c r="J147" t="s">
        <v>33</v>
      </c>
      <c r="K147" t="s">
        <v>87</v>
      </c>
      <c r="L147" t="s">
        <v>38</v>
      </c>
      <c r="M147" t="s">
        <v>122</v>
      </c>
    </row>
    <row r="148" spans="1:13" x14ac:dyDescent="0.3">
      <c r="A148" t="s">
        <v>437</v>
      </c>
      <c r="B148" t="s">
        <v>438</v>
      </c>
      <c r="C148" t="s">
        <v>86</v>
      </c>
      <c r="D148" t="s">
        <v>18</v>
      </c>
      <c r="E148" t="s">
        <v>14</v>
      </c>
      <c r="F148" t="s">
        <v>28</v>
      </c>
      <c r="G148">
        <v>1</v>
      </c>
      <c r="H148">
        <v>59.37</v>
      </c>
      <c r="I148">
        <v>0</v>
      </c>
      <c r="J148" t="s">
        <v>30</v>
      </c>
      <c r="K148" t="s">
        <v>77</v>
      </c>
      <c r="L148" t="s">
        <v>39</v>
      </c>
      <c r="M148" t="s">
        <v>300</v>
      </c>
    </row>
    <row r="149" spans="1:13" x14ac:dyDescent="0.3">
      <c r="A149" t="s">
        <v>439</v>
      </c>
      <c r="B149" t="s">
        <v>440</v>
      </c>
      <c r="C149" t="s">
        <v>103</v>
      </c>
      <c r="D149" t="s">
        <v>20</v>
      </c>
      <c r="E149" t="s">
        <v>10</v>
      </c>
      <c r="F149" t="s">
        <v>25</v>
      </c>
      <c r="G149">
        <v>1</v>
      </c>
      <c r="H149">
        <v>384.46</v>
      </c>
      <c r="I149">
        <v>0</v>
      </c>
      <c r="J149" t="s">
        <v>32</v>
      </c>
      <c r="K149" t="s">
        <v>92</v>
      </c>
      <c r="L149" t="s">
        <v>38</v>
      </c>
      <c r="M149" t="s">
        <v>175</v>
      </c>
    </row>
    <row r="150" spans="1:13" x14ac:dyDescent="0.3">
      <c r="A150" t="s">
        <v>441</v>
      </c>
      <c r="B150" t="s">
        <v>95</v>
      </c>
      <c r="C150" t="s">
        <v>127</v>
      </c>
      <c r="D150" t="s">
        <v>20</v>
      </c>
      <c r="E150" t="s">
        <v>12</v>
      </c>
      <c r="F150" t="s">
        <v>25</v>
      </c>
      <c r="G150">
        <v>1</v>
      </c>
      <c r="H150">
        <v>127.35</v>
      </c>
      <c r="I150">
        <v>10</v>
      </c>
      <c r="J150" t="s">
        <v>31</v>
      </c>
      <c r="K150" t="s">
        <v>77</v>
      </c>
      <c r="L150" t="s">
        <v>39</v>
      </c>
      <c r="M150" t="s">
        <v>100</v>
      </c>
    </row>
    <row r="151" spans="1:13" x14ac:dyDescent="0.3">
      <c r="A151" t="s">
        <v>442</v>
      </c>
      <c r="B151" t="s">
        <v>443</v>
      </c>
      <c r="C151" t="s">
        <v>86</v>
      </c>
      <c r="D151" t="s">
        <v>18</v>
      </c>
      <c r="E151" t="s">
        <v>7</v>
      </c>
      <c r="F151" t="s">
        <v>27</v>
      </c>
      <c r="G151">
        <v>1</v>
      </c>
      <c r="H151">
        <v>386.07</v>
      </c>
      <c r="I151">
        <v>0</v>
      </c>
      <c r="J151" t="s">
        <v>30</v>
      </c>
      <c r="K151" t="s">
        <v>82</v>
      </c>
      <c r="L151" t="s">
        <v>38</v>
      </c>
      <c r="M151" t="s">
        <v>277</v>
      </c>
    </row>
    <row r="152" spans="1:13" x14ac:dyDescent="0.3">
      <c r="A152" t="s">
        <v>444</v>
      </c>
      <c r="B152" t="s">
        <v>445</v>
      </c>
      <c r="C152" t="s">
        <v>76</v>
      </c>
      <c r="D152" t="s">
        <v>16</v>
      </c>
      <c r="E152" t="s">
        <v>10</v>
      </c>
      <c r="F152" t="s">
        <v>25</v>
      </c>
      <c r="G152">
        <v>2</v>
      </c>
      <c r="H152">
        <v>358.67</v>
      </c>
      <c r="I152">
        <v>20</v>
      </c>
      <c r="J152" t="s">
        <v>30</v>
      </c>
      <c r="K152" t="s">
        <v>77</v>
      </c>
      <c r="L152" t="s">
        <v>38</v>
      </c>
      <c r="M152" t="s">
        <v>150</v>
      </c>
    </row>
    <row r="153" spans="1:13" x14ac:dyDescent="0.3">
      <c r="A153" t="s">
        <v>446</v>
      </c>
      <c r="B153" t="s">
        <v>447</v>
      </c>
      <c r="C153" t="s">
        <v>76</v>
      </c>
      <c r="D153" t="s">
        <v>21</v>
      </c>
      <c r="E153" t="s">
        <v>5</v>
      </c>
      <c r="F153" t="s">
        <v>25</v>
      </c>
      <c r="G153">
        <v>1</v>
      </c>
      <c r="H153">
        <v>1072.6600000000001</v>
      </c>
      <c r="I153">
        <v>20</v>
      </c>
      <c r="J153" t="s">
        <v>33</v>
      </c>
      <c r="K153" t="s">
        <v>77</v>
      </c>
      <c r="L153" t="s">
        <v>37</v>
      </c>
      <c r="M153" t="s">
        <v>448</v>
      </c>
    </row>
    <row r="154" spans="1:13" x14ac:dyDescent="0.3">
      <c r="A154" t="s">
        <v>449</v>
      </c>
      <c r="B154" t="s">
        <v>450</v>
      </c>
      <c r="C154" t="s">
        <v>76</v>
      </c>
      <c r="D154" t="s">
        <v>19</v>
      </c>
      <c r="E154" t="s">
        <v>11</v>
      </c>
      <c r="F154" t="s">
        <v>26</v>
      </c>
      <c r="G154">
        <v>5</v>
      </c>
      <c r="H154">
        <v>165.39</v>
      </c>
      <c r="I154">
        <v>10</v>
      </c>
      <c r="J154" t="s">
        <v>30</v>
      </c>
      <c r="K154" t="s">
        <v>87</v>
      </c>
      <c r="L154" t="s">
        <v>37</v>
      </c>
      <c r="M154" t="s">
        <v>214</v>
      </c>
    </row>
    <row r="155" spans="1:13" x14ac:dyDescent="0.3">
      <c r="A155" t="s">
        <v>451</v>
      </c>
      <c r="B155" t="s">
        <v>171</v>
      </c>
      <c r="C155" t="s">
        <v>76</v>
      </c>
      <c r="D155" t="s">
        <v>20</v>
      </c>
      <c r="E155" t="s">
        <v>13</v>
      </c>
      <c r="F155" t="s">
        <v>28</v>
      </c>
      <c r="G155">
        <v>2</v>
      </c>
      <c r="H155">
        <v>91.52</v>
      </c>
      <c r="I155">
        <v>0</v>
      </c>
      <c r="J155" t="s">
        <v>32</v>
      </c>
      <c r="K155" t="s">
        <v>77</v>
      </c>
      <c r="L155" t="s">
        <v>38</v>
      </c>
      <c r="M155" t="s">
        <v>181</v>
      </c>
    </row>
    <row r="156" spans="1:13" x14ac:dyDescent="0.3">
      <c r="A156" t="s">
        <v>452</v>
      </c>
      <c r="B156" t="s">
        <v>213</v>
      </c>
      <c r="C156" t="s">
        <v>99</v>
      </c>
      <c r="D156" t="s">
        <v>18</v>
      </c>
      <c r="E156" t="s">
        <v>6</v>
      </c>
      <c r="F156" t="s">
        <v>26</v>
      </c>
      <c r="G156">
        <v>3</v>
      </c>
      <c r="H156">
        <v>716.38</v>
      </c>
      <c r="I156">
        <v>15</v>
      </c>
      <c r="J156" t="s">
        <v>30</v>
      </c>
      <c r="K156" t="s">
        <v>82</v>
      </c>
      <c r="L156" t="s">
        <v>37</v>
      </c>
      <c r="M156" t="s">
        <v>453</v>
      </c>
    </row>
    <row r="157" spans="1:13" x14ac:dyDescent="0.3">
      <c r="A157" t="s">
        <v>454</v>
      </c>
      <c r="B157" t="s">
        <v>313</v>
      </c>
      <c r="C157" t="s">
        <v>121</v>
      </c>
      <c r="D157" t="s">
        <v>21</v>
      </c>
      <c r="E157" t="s">
        <v>8</v>
      </c>
      <c r="F157" t="s">
        <v>25</v>
      </c>
      <c r="G157">
        <v>1</v>
      </c>
      <c r="H157">
        <v>732.99</v>
      </c>
      <c r="I157">
        <v>0</v>
      </c>
      <c r="J157" t="s">
        <v>31</v>
      </c>
      <c r="K157" t="s">
        <v>82</v>
      </c>
      <c r="L157" t="s">
        <v>37</v>
      </c>
      <c r="M157" t="s">
        <v>247</v>
      </c>
    </row>
    <row r="158" spans="1:13" x14ac:dyDescent="0.3">
      <c r="A158" t="s">
        <v>455</v>
      </c>
      <c r="B158" t="s">
        <v>456</v>
      </c>
      <c r="C158" t="s">
        <v>91</v>
      </c>
      <c r="D158" t="s">
        <v>21</v>
      </c>
      <c r="E158" t="s">
        <v>9</v>
      </c>
      <c r="F158" t="s">
        <v>27</v>
      </c>
      <c r="G158">
        <v>1</v>
      </c>
      <c r="H158">
        <v>204.34</v>
      </c>
      <c r="I158">
        <v>15</v>
      </c>
      <c r="J158" t="s">
        <v>30</v>
      </c>
      <c r="K158" t="s">
        <v>82</v>
      </c>
      <c r="L158" t="s">
        <v>37</v>
      </c>
      <c r="M158" t="s">
        <v>238</v>
      </c>
    </row>
    <row r="159" spans="1:13" x14ac:dyDescent="0.3">
      <c r="A159" t="s">
        <v>457</v>
      </c>
      <c r="B159" t="s">
        <v>202</v>
      </c>
      <c r="C159" t="s">
        <v>127</v>
      </c>
      <c r="D159" t="s">
        <v>21</v>
      </c>
      <c r="E159" t="s">
        <v>5</v>
      </c>
      <c r="F159" t="s">
        <v>25</v>
      </c>
      <c r="G159">
        <v>2</v>
      </c>
      <c r="H159">
        <v>974.36</v>
      </c>
      <c r="I159">
        <v>0</v>
      </c>
      <c r="J159" t="s">
        <v>30</v>
      </c>
      <c r="K159" t="s">
        <v>92</v>
      </c>
      <c r="L159" t="s">
        <v>38</v>
      </c>
      <c r="M159" t="s">
        <v>458</v>
      </c>
    </row>
    <row r="160" spans="1:13" x14ac:dyDescent="0.3">
      <c r="A160" t="s">
        <v>459</v>
      </c>
      <c r="B160" t="s">
        <v>168</v>
      </c>
      <c r="C160" t="s">
        <v>127</v>
      </c>
      <c r="D160" t="s">
        <v>18</v>
      </c>
      <c r="E160" t="s">
        <v>12</v>
      </c>
      <c r="F160" t="s">
        <v>25</v>
      </c>
      <c r="G160">
        <v>1</v>
      </c>
      <c r="H160">
        <v>127.24</v>
      </c>
      <c r="I160">
        <v>10</v>
      </c>
      <c r="J160" t="s">
        <v>33</v>
      </c>
      <c r="K160" t="s">
        <v>77</v>
      </c>
      <c r="L160" t="s">
        <v>37</v>
      </c>
      <c r="M160" t="s">
        <v>96</v>
      </c>
    </row>
    <row r="161" spans="1:13" x14ac:dyDescent="0.3">
      <c r="A161" t="s">
        <v>460</v>
      </c>
      <c r="B161" t="s">
        <v>461</v>
      </c>
      <c r="C161" t="s">
        <v>99</v>
      </c>
      <c r="D161" t="s">
        <v>20</v>
      </c>
      <c r="E161" t="s">
        <v>14</v>
      </c>
      <c r="F161" t="s">
        <v>28</v>
      </c>
      <c r="G161">
        <v>2</v>
      </c>
      <c r="H161">
        <v>60.56</v>
      </c>
      <c r="I161">
        <v>15</v>
      </c>
      <c r="J161" t="s">
        <v>33</v>
      </c>
      <c r="K161" t="s">
        <v>82</v>
      </c>
      <c r="L161" t="s">
        <v>37</v>
      </c>
      <c r="M161" t="s">
        <v>280</v>
      </c>
    </row>
    <row r="162" spans="1:13" x14ac:dyDescent="0.3">
      <c r="A162" t="s">
        <v>462</v>
      </c>
      <c r="B162" t="s">
        <v>463</v>
      </c>
      <c r="C162" t="s">
        <v>86</v>
      </c>
      <c r="D162" t="s">
        <v>17</v>
      </c>
      <c r="E162" t="s">
        <v>6</v>
      </c>
      <c r="F162" t="s">
        <v>26</v>
      </c>
      <c r="G162">
        <v>2</v>
      </c>
      <c r="H162">
        <v>741.78</v>
      </c>
      <c r="I162">
        <v>20</v>
      </c>
      <c r="J162" t="s">
        <v>30</v>
      </c>
      <c r="K162" t="s">
        <v>77</v>
      </c>
      <c r="L162" t="s">
        <v>37</v>
      </c>
      <c r="M162" t="s">
        <v>400</v>
      </c>
    </row>
    <row r="163" spans="1:13" x14ac:dyDescent="0.3">
      <c r="A163" t="s">
        <v>464</v>
      </c>
      <c r="B163" t="s">
        <v>252</v>
      </c>
      <c r="C163" t="s">
        <v>76</v>
      </c>
      <c r="D163" t="s">
        <v>16</v>
      </c>
      <c r="E163" t="s">
        <v>7</v>
      </c>
      <c r="F163" t="s">
        <v>27</v>
      </c>
      <c r="G163">
        <v>2</v>
      </c>
      <c r="H163">
        <v>389.15</v>
      </c>
      <c r="I163">
        <v>5</v>
      </c>
      <c r="J163" t="s">
        <v>31</v>
      </c>
      <c r="K163" t="s">
        <v>82</v>
      </c>
      <c r="L163" t="s">
        <v>39</v>
      </c>
      <c r="M163" t="s">
        <v>465</v>
      </c>
    </row>
    <row r="164" spans="1:13" x14ac:dyDescent="0.3">
      <c r="A164" t="s">
        <v>466</v>
      </c>
      <c r="B164" t="s">
        <v>338</v>
      </c>
      <c r="C164" t="s">
        <v>103</v>
      </c>
      <c r="D164" t="s">
        <v>16</v>
      </c>
      <c r="E164" t="s">
        <v>10</v>
      </c>
      <c r="F164" t="s">
        <v>25</v>
      </c>
      <c r="G164">
        <v>1</v>
      </c>
      <c r="H164">
        <v>348.61</v>
      </c>
      <c r="I164">
        <v>10</v>
      </c>
      <c r="J164" t="s">
        <v>30</v>
      </c>
      <c r="K164" t="s">
        <v>82</v>
      </c>
      <c r="L164" t="s">
        <v>37</v>
      </c>
      <c r="M164" t="s">
        <v>214</v>
      </c>
    </row>
    <row r="165" spans="1:13" x14ac:dyDescent="0.3">
      <c r="A165" t="s">
        <v>467</v>
      </c>
      <c r="B165" t="s">
        <v>468</v>
      </c>
      <c r="C165" t="s">
        <v>107</v>
      </c>
      <c r="D165" t="s">
        <v>20</v>
      </c>
      <c r="E165" t="s">
        <v>11</v>
      </c>
      <c r="F165" t="s">
        <v>26</v>
      </c>
      <c r="G165">
        <v>5</v>
      </c>
      <c r="H165">
        <v>152.51</v>
      </c>
      <c r="I165">
        <v>5</v>
      </c>
      <c r="J165" t="s">
        <v>32</v>
      </c>
      <c r="K165" t="s">
        <v>82</v>
      </c>
      <c r="L165" t="s">
        <v>39</v>
      </c>
      <c r="M165" t="s">
        <v>371</v>
      </c>
    </row>
    <row r="166" spans="1:13" x14ac:dyDescent="0.3">
      <c r="A166" t="s">
        <v>469</v>
      </c>
      <c r="B166" t="s">
        <v>208</v>
      </c>
      <c r="C166" t="s">
        <v>99</v>
      </c>
      <c r="D166" t="s">
        <v>16</v>
      </c>
      <c r="E166" t="s">
        <v>5</v>
      </c>
      <c r="F166" t="s">
        <v>25</v>
      </c>
      <c r="G166">
        <v>1</v>
      </c>
      <c r="H166">
        <v>867</v>
      </c>
      <c r="I166">
        <v>10</v>
      </c>
      <c r="J166" t="s">
        <v>33</v>
      </c>
      <c r="K166" t="s">
        <v>92</v>
      </c>
      <c r="L166" t="s">
        <v>38</v>
      </c>
      <c r="M166" t="s">
        <v>142</v>
      </c>
    </row>
    <row r="167" spans="1:13" x14ac:dyDescent="0.3">
      <c r="A167" t="s">
        <v>470</v>
      </c>
      <c r="B167" t="s">
        <v>282</v>
      </c>
      <c r="C167" t="s">
        <v>107</v>
      </c>
      <c r="D167" t="s">
        <v>18</v>
      </c>
      <c r="E167" t="s">
        <v>8</v>
      </c>
      <c r="F167" t="s">
        <v>25</v>
      </c>
      <c r="G167">
        <v>3</v>
      </c>
      <c r="H167">
        <v>703.22</v>
      </c>
      <c r="I167">
        <v>0</v>
      </c>
      <c r="J167" t="s">
        <v>31</v>
      </c>
      <c r="K167" t="s">
        <v>87</v>
      </c>
      <c r="L167" t="s">
        <v>37</v>
      </c>
      <c r="M167" t="s">
        <v>274</v>
      </c>
    </row>
    <row r="168" spans="1:13" x14ac:dyDescent="0.3">
      <c r="A168" t="s">
        <v>471</v>
      </c>
      <c r="B168" t="s">
        <v>472</v>
      </c>
      <c r="C168" t="s">
        <v>127</v>
      </c>
      <c r="D168" t="s">
        <v>20</v>
      </c>
      <c r="E168" t="s">
        <v>12</v>
      </c>
      <c r="F168" t="s">
        <v>25</v>
      </c>
      <c r="G168">
        <v>1</v>
      </c>
      <c r="H168">
        <v>121.51</v>
      </c>
      <c r="I168">
        <v>0</v>
      </c>
      <c r="J168" t="s">
        <v>33</v>
      </c>
      <c r="K168" t="s">
        <v>77</v>
      </c>
      <c r="L168" t="s">
        <v>38</v>
      </c>
      <c r="M168" t="s">
        <v>332</v>
      </c>
    </row>
    <row r="169" spans="1:13" x14ac:dyDescent="0.3">
      <c r="A169" t="s">
        <v>473</v>
      </c>
      <c r="B169" t="s">
        <v>463</v>
      </c>
      <c r="C169" t="s">
        <v>127</v>
      </c>
      <c r="D169" t="s">
        <v>19</v>
      </c>
      <c r="E169" t="s">
        <v>7</v>
      </c>
      <c r="F169" t="s">
        <v>27</v>
      </c>
      <c r="G169">
        <v>2</v>
      </c>
      <c r="H169">
        <v>416.39</v>
      </c>
      <c r="I169">
        <v>5</v>
      </c>
      <c r="J169" t="s">
        <v>33</v>
      </c>
      <c r="K169" t="s">
        <v>92</v>
      </c>
      <c r="L169" t="s">
        <v>37</v>
      </c>
      <c r="M169" t="s">
        <v>474</v>
      </c>
    </row>
    <row r="170" spans="1:13" x14ac:dyDescent="0.3">
      <c r="A170" t="s">
        <v>475</v>
      </c>
      <c r="B170" t="s">
        <v>210</v>
      </c>
      <c r="C170" t="s">
        <v>103</v>
      </c>
      <c r="D170" t="s">
        <v>19</v>
      </c>
      <c r="E170" t="s">
        <v>8</v>
      </c>
      <c r="F170" t="s">
        <v>25</v>
      </c>
      <c r="G170">
        <v>2</v>
      </c>
      <c r="H170">
        <v>715.64</v>
      </c>
      <c r="I170">
        <v>10</v>
      </c>
      <c r="J170" t="s">
        <v>31</v>
      </c>
      <c r="K170" t="s">
        <v>87</v>
      </c>
      <c r="L170" t="s">
        <v>39</v>
      </c>
      <c r="M170" t="s">
        <v>476</v>
      </c>
    </row>
    <row r="171" spans="1:13" x14ac:dyDescent="0.3">
      <c r="A171" t="s">
        <v>477</v>
      </c>
      <c r="B171" t="s">
        <v>478</v>
      </c>
      <c r="C171" t="s">
        <v>86</v>
      </c>
      <c r="D171" t="s">
        <v>19</v>
      </c>
      <c r="E171" t="s">
        <v>8</v>
      </c>
      <c r="F171" t="s">
        <v>25</v>
      </c>
      <c r="G171">
        <v>1</v>
      </c>
      <c r="H171">
        <v>685.18</v>
      </c>
      <c r="I171">
        <v>20</v>
      </c>
      <c r="J171" t="s">
        <v>32</v>
      </c>
      <c r="K171" t="s">
        <v>87</v>
      </c>
      <c r="L171" t="s">
        <v>38</v>
      </c>
      <c r="M171" t="s">
        <v>131</v>
      </c>
    </row>
    <row r="172" spans="1:13" x14ac:dyDescent="0.3">
      <c r="A172" t="s">
        <v>479</v>
      </c>
      <c r="B172" t="s">
        <v>480</v>
      </c>
      <c r="C172" t="s">
        <v>91</v>
      </c>
      <c r="D172" t="s">
        <v>17</v>
      </c>
      <c r="E172" t="s">
        <v>10</v>
      </c>
      <c r="F172" t="s">
        <v>25</v>
      </c>
      <c r="G172">
        <v>1</v>
      </c>
      <c r="H172">
        <v>373.96</v>
      </c>
      <c r="I172">
        <v>20</v>
      </c>
      <c r="J172" t="s">
        <v>33</v>
      </c>
      <c r="K172" t="s">
        <v>77</v>
      </c>
      <c r="L172" t="s">
        <v>38</v>
      </c>
      <c r="M172" t="s">
        <v>111</v>
      </c>
    </row>
    <row r="173" spans="1:13" x14ac:dyDescent="0.3">
      <c r="A173" t="s">
        <v>481</v>
      </c>
      <c r="B173" t="s">
        <v>482</v>
      </c>
      <c r="C173" t="s">
        <v>121</v>
      </c>
      <c r="D173" t="s">
        <v>17</v>
      </c>
      <c r="E173" t="s">
        <v>5</v>
      </c>
      <c r="F173" t="s">
        <v>25</v>
      </c>
      <c r="G173">
        <v>2</v>
      </c>
      <c r="H173">
        <v>1026.33</v>
      </c>
      <c r="I173">
        <v>15</v>
      </c>
      <c r="J173" t="s">
        <v>32</v>
      </c>
      <c r="K173" t="s">
        <v>82</v>
      </c>
      <c r="L173" t="s">
        <v>37</v>
      </c>
      <c r="M173" t="s">
        <v>483</v>
      </c>
    </row>
    <row r="174" spans="1:13" x14ac:dyDescent="0.3">
      <c r="A174" t="s">
        <v>484</v>
      </c>
      <c r="B174" t="s">
        <v>485</v>
      </c>
      <c r="C174" t="s">
        <v>99</v>
      </c>
      <c r="D174" t="s">
        <v>16</v>
      </c>
      <c r="E174" t="s">
        <v>10</v>
      </c>
      <c r="F174" t="s">
        <v>25</v>
      </c>
      <c r="G174">
        <v>2</v>
      </c>
      <c r="H174">
        <v>376.3</v>
      </c>
      <c r="I174">
        <v>5</v>
      </c>
      <c r="J174" t="s">
        <v>31</v>
      </c>
      <c r="K174" t="s">
        <v>77</v>
      </c>
      <c r="L174" t="s">
        <v>37</v>
      </c>
      <c r="M174" t="s">
        <v>486</v>
      </c>
    </row>
    <row r="175" spans="1:13" x14ac:dyDescent="0.3">
      <c r="A175" t="s">
        <v>487</v>
      </c>
      <c r="B175" t="s">
        <v>488</v>
      </c>
      <c r="C175" t="s">
        <v>103</v>
      </c>
      <c r="D175" t="s">
        <v>19</v>
      </c>
      <c r="E175" t="s">
        <v>6</v>
      </c>
      <c r="F175" t="s">
        <v>26</v>
      </c>
      <c r="G175">
        <v>2</v>
      </c>
      <c r="H175">
        <v>821.24</v>
      </c>
      <c r="I175">
        <v>0</v>
      </c>
      <c r="J175" t="s">
        <v>30</v>
      </c>
      <c r="K175" t="s">
        <v>77</v>
      </c>
      <c r="L175" t="s">
        <v>37</v>
      </c>
      <c r="M175" t="s">
        <v>93</v>
      </c>
    </row>
    <row r="176" spans="1:13" x14ac:dyDescent="0.3">
      <c r="A176" t="s">
        <v>489</v>
      </c>
      <c r="B176" t="s">
        <v>490</v>
      </c>
      <c r="C176" t="s">
        <v>121</v>
      </c>
      <c r="D176" t="s">
        <v>16</v>
      </c>
      <c r="E176" t="s">
        <v>7</v>
      </c>
      <c r="F176" t="s">
        <v>27</v>
      </c>
      <c r="G176">
        <v>4</v>
      </c>
      <c r="H176">
        <v>426.26</v>
      </c>
      <c r="I176">
        <v>15</v>
      </c>
      <c r="J176" t="s">
        <v>30</v>
      </c>
      <c r="K176" t="s">
        <v>77</v>
      </c>
      <c r="L176" t="s">
        <v>37</v>
      </c>
      <c r="M176" t="s">
        <v>491</v>
      </c>
    </row>
    <row r="177" spans="1:13" x14ac:dyDescent="0.3">
      <c r="A177" t="s">
        <v>492</v>
      </c>
      <c r="B177" t="s">
        <v>493</v>
      </c>
      <c r="C177" t="s">
        <v>81</v>
      </c>
      <c r="D177" t="s">
        <v>17</v>
      </c>
      <c r="E177" t="s">
        <v>9</v>
      </c>
      <c r="F177" t="s">
        <v>27</v>
      </c>
      <c r="G177">
        <v>1</v>
      </c>
      <c r="H177">
        <v>175.43</v>
      </c>
      <c r="I177">
        <v>15</v>
      </c>
      <c r="J177" t="s">
        <v>30</v>
      </c>
      <c r="K177" t="s">
        <v>87</v>
      </c>
      <c r="L177" t="s">
        <v>37</v>
      </c>
      <c r="M177" t="s">
        <v>223</v>
      </c>
    </row>
    <row r="178" spans="1:13" x14ac:dyDescent="0.3">
      <c r="A178" t="s">
        <v>494</v>
      </c>
      <c r="B178" t="s">
        <v>495</v>
      </c>
      <c r="C178" t="s">
        <v>76</v>
      </c>
      <c r="D178" t="s">
        <v>19</v>
      </c>
      <c r="E178" t="s">
        <v>7</v>
      </c>
      <c r="F178" t="s">
        <v>27</v>
      </c>
      <c r="G178">
        <v>2</v>
      </c>
      <c r="H178">
        <v>476.12</v>
      </c>
      <c r="I178">
        <v>15</v>
      </c>
      <c r="J178" t="s">
        <v>32</v>
      </c>
      <c r="K178" t="s">
        <v>77</v>
      </c>
      <c r="L178" t="s">
        <v>37</v>
      </c>
      <c r="M178" t="s">
        <v>496</v>
      </c>
    </row>
    <row r="179" spans="1:13" x14ac:dyDescent="0.3">
      <c r="A179" t="s">
        <v>497</v>
      </c>
      <c r="B179" t="s">
        <v>130</v>
      </c>
      <c r="C179" t="s">
        <v>99</v>
      </c>
      <c r="D179" t="s">
        <v>17</v>
      </c>
      <c r="E179" t="s">
        <v>8</v>
      </c>
      <c r="F179" t="s">
        <v>25</v>
      </c>
      <c r="G179">
        <v>1</v>
      </c>
      <c r="H179">
        <v>631.74</v>
      </c>
      <c r="I179">
        <v>0</v>
      </c>
      <c r="J179" t="s">
        <v>32</v>
      </c>
      <c r="K179" t="s">
        <v>82</v>
      </c>
      <c r="L179" t="s">
        <v>37</v>
      </c>
      <c r="M179" t="s">
        <v>498</v>
      </c>
    </row>
    <row r="180" spans="1:13" x14ac:dyDescent="0.3">
      <c r="A180" t="s">
        <v>499</v>
      </c>
      <c r="B180" t="s">
        <v>500</v>
      </c>
      <c r="C180" t="s">
        <v>76</v>
      </c>
      <c r="D180" t="s">
        <v>19</v>
      </c>
      <c r="E180" t="s">
        <v>13</v>
      </c>
      <c r="F180" t="s">
        <v>28</v>
      </c>
      <c r="G180">
        <v>1</v>
      </c>
      <c r="H180">
        <v>93.65</v>
      </c>
      <c r="I180">
        <v>15</v>
      </c>
      <c r="J180" t="s">
        <v>31</v>
      </c>
      <c r="K180" t="s">
        <v>82</v>
      </c>
      <c r="L180" t="s">
        <v>37</v>
      </c>
      <c r="M180" t="s">
        <v>320</v>
      </c>
    </row>
    <row r="181" spans="1:13" x14ac:dyDescent="0.3">
      <c r="A181" t="s">
        <v>501</v>
      </c>
      <c r="B181" t="s">
        <v>399</v>
      </c>
      <c r="C181" t="s">
        <v>86</v>
      </c>
      <c r="D181" t="s">
        <v>17</v>
      </c>
      <c r="E181" t="s">
        <v>13</v>
      </c>
      <c r="F181" t="s">
        <v>28</v>
      </c>
      <c r="G181">
        <v>1</v>
      </c>
      <c r="H181">
        <v>86.24</v>
      </c>
      <c r="I181">
        <v>5</v>
      </c>
      <c r="J181" t="s">
        <v>33</v>
      </c>
      <c r="K181" t="s">
        <v>82</v>
      </c>
      <c r="L181" t="s">
        <v>39</v>
      </c>
      <c r="M181" t="s">
        <v>22</v>
      </c>
    </row>
    <row r="182" spans="1:13" x14ac:dyDescent="0.3">
      <c r="A182" t="s">
        <v>502</v>
      </c>
      <c r="B182" t="s">
        <v>351</v>
      </c>
      <c r="C182" t="s">
        <v>81</v>
      </c>
      <c r="D182" t="s">
        <v>16</v>
      </c>
      <c r="E182" t="s">
        <v>13</v>
      </c>
      <c r="F182" t="s">
        <v>28</v>
      </c>
      <c r="G182">
        <v>5</v>
      </c>
      <c r="H182">
        <v>84.55</v>
      </c>
      <c r="I182">
        <v>0</v>
      </c>
      <c r="J182" t="s">
        <v>30</v>
      </c>
      <c r="K182" t="s">
        <v>92</v>
      </c>
      <c r="L182" t="s">
        <v>39</v>
      </c>
      <c r="M182" t="s">
        <v>503</v>
      </c>
    </row>
    <row r="183" spans="1:13" x14ac:dyDescent="0.3">
      <c r="A183" t="s">
        <v>504</v>
      </c>
      <c r="B183" t="s">
        <v>505</v>
      </c>
      <c r="C183" t="s">
        <v>114</v>
      </c>
      <c r="D183" t="s">
        <v>21</v>
      </c>
      <c r="E183" t="s">
        <v>5</v>
      </c>
      <c r="F183" t="s">
        <v>25</v>
      </c>
      <c r="G183">
        <v>1</v>
      </c>
      <c r="H183">
        <v>1030.44</v>
      </c>
      <c r="I183">
        <v>0</v>
      </c>
      <c r="J183" t="s">
        <v>32</v>
      </c>
      <c r="K183" t="s">
        <v>77</v>
      </c>
      <c r="L183" t="s">
        <v>37</v>
      </c>
      <c r="M183" t="s">
        <v>506</v>
      </c>
    </row>
    <row r="184" spans="1:13" x14ac:dyDescent="0.3">
      <c r="A184" t="s">
        <v>507</v>
      </c>
      <c r="B184" t="s">
        <v>508</v>
      </c>
      <c r="C184" t="s">
        <v>91</v>
      </c>
      <c r="D184" t="s">
        <v>18</v>
      </c>
      <c r="E184" t="s">
        <v>14</v>
      </c>
      <c r="F184" t="s">
        <v>28</v>
      </c>
      <c r="G184">
        <v>3</v>
      </c>
      <c r="H184">
        <v>49.63</v>
      </c>
      <c r="I184">
        <v>15</v>
      </c>
      <c r="J184" t="s">
        <v>32</v>
      </c>
      <c r="K184" t="s">
        <v>82</v>
      </c>
      <c r="L184" t="s">
        <v>37</v>
      </c>
      <c r="M184" t="s">
        <v>241</v>
      </c>
    </row>
    <row r="185" spans="1:13" x14ac:dyDescent="0.3">
      <c r="A185" t="s">
        <v>509</v>
      </c>
      <c r="B185" t="s">
        <v>188</v>
      </c>
      <c r="C185" t="s">
        <v>99</v>
      </c>
      <c r="D185" t="s">
        <v>17</v>
      </c>
      <c r="E185" t="s">
        <v>11</v>
      </c>
      <c r="F185" t="s">
        <v>26</v>
      </c>
      <c r="G185">
        <v>1</v>
      </c>
      <c r="H185">
        <v>165.33</v>
      </c>
      <c r="I185">
        <v>0</v>
      </c>
      <c r="J185" t="s">
        <v>31</v>
      </c>
      <c r="K185" t="s">
        <v>92</v>
      </c>
      <c r="L185" t="s">
        <v>37</v>
      </c>
      <c r="M185" t="s">
        <v>368</v>
      </c>
    </row>
    <row r="186" spans="1:13" x14ac:dyDescent="0.3">
      <c r="A186" t="s">
        <v>510</v>
      </c>
      <c r="B186" t="s">
        <v>426</v>
      </c>
      <c r="C186" t="s">
        <v>114</v>
      </c>
      <c r="D186" t="s">
        <v>18</v>
      </c>
      <c r="E186" t="s">
        <v>14</v>
      </c>
      <c r="F186" t="s">
        <v>28</v>
      </c>
      <c r="G186">
        <v>2</v>
      </c>
      <c r="H186">
        <v>59.91</v>
      </c>
      <c r="I186">
        <v>10</v>
      </c>
      <c r="J186" t="s">
        <v>30</v>
      </c>
      <c r="K186" t="s">
        <v>92</v>
      </c>
      <c r="L186" t="s">
        <v>38</v>
      </c>
      <c r="M186" t="s">
        <v>22</v>
      </c>
    </row>
    <row r="187" spans="1:13" x14ac:dyDescent="0.3">
      <c r="A187" t="s">
        <v>511</v>
      </c>
      <c r="B187" t="s">
        <v>512</v>
      </c>
      <c r="C187" t="s">
        <v>107</v>
      </c>
      <c r="D187" t="s">
        <v>16</v>
      </c>
      <c r="E187" t="s">
        <v>12</v>
      </c>
      <c r="F187" t="s">
        <v>25</v>
      </c>
      <c r="G187">
        <v>1</v>
      </c>
      <c r="H187">
        <v>112.22</v>
      </c>
      <c r="I187">
        <v>5</v>
      </c>
      <c r="J187" t="s">
        <v>31</v>
      </c>
      <c r="K187" t="s">
        <v>77</v>
      </c>
      <c r="L187" t="s">
        <v>37</v>
      </c>
      <c r="M187" t="s">
        <v>513</v>
      </c>
    </row>
    <row r="188" spans="1:13" x14ac:dyDescent="0.3">
      <c r="A188" t="s">
        <v>514</v>
      </c>
      <c r="B188" t="s">
        <v>515</v>
      </c>
      <c r="C188" t="s">
        <v>91</v>
      </c>
      <c r="D188" t="s">
        <v>16</v>
      </c>
      <c r="E188" t="s">
        <v>14</v>
      </c>
      <c r="F188" t="s">
        <v>28</v>
      </c>
      <c r="G188">
        <v>1</v>
      </c>
      <c r="H188">
        <v>58.93</v>
      </c>
      <c r="I188">
        <v>10</v>
      </c>
      <c r="J188" t="s">
        <v>31</v>
      </c>
      <c r="K188" t="s">
        <v>82</v>
      </c>
      <c r="L188" t="s">
        <v>37</v>
      </c>
      <c r="M188" t="s">
        <v>211</v>
      </c>
    </row>
    <row r="189" spans="1:13" x14ac:dyDescent="0.3">
      <c r="A189" t="s">
        <v>516</v>
      </c>
      <c r="B189" t="s">
        <v>412</v>
      </c>
      <c r="C189" t="s">
        <v>121</v>
      </c>
      <c r="D189" t="s">
        <v>18</v>
      </c>
      <c r="E189" t="s">
        <v>11</v>
      </c>
      <c r="F189" t="s">
        <v>26</v>
      </c>
      <c r="G189">
        <v>1</v>
      </c>
      <c r="H189">
        <v>163.04</v>
      </c>
      <c r="I189">
        <v>20</v>
      </c>
      <c r="J189" t="s">
        <v>31</v>
      </c>
      <c r="K189" t="s">
        <v>82</v>
      </c>
      <c r="L189" t="s">
        <v>39</v>
      </c>
      <c r="M189" t="s">
        <v>158</v>
      </c>
    </row>
    <row r="190" spans="1:13" x14ac:dyDescent="0.3">
      <c r="A190" t="s">
        <v>517</v>
      </c>
      <c r="B190" t="s">
        <v>518</v>
      </c>
      <c r="C190" t="s">
        <v>76</v>
      </c>
      <c r="D190" t="s">
        <v>20</v>
      </c>
      <c r="E190" t="s">
        <v>13</v>
      </c>
      <c r="F190" t="s">
        <v>28</v>
      </c>
      <c r="G190">
        <v>1</v>
      </c>
      <c r="H190">
        <v>96.83</v>
      </c>
      <c r="I190">
        <v>20</v>
      </c>
      <c r="J190" t="s">
        <v>31</v>
      </c>
      <c r="K190" t="s">
        <v>82</v>
      </c>
      <c r="L190" t="s">
        <v>38</v>
      </c>
      <c r="M190" t="s">
        <v>311</v>
      </c>
    </row>
    <row r="191" spans="1:13" x14ac:dyDescent="0.3">
      <c r="A191" t="s">
        <v>519</v>
      </c>
      <c r="B191" t="s">
        <v>346</v>
      </c>
      <c r="C191" t="s">
        <v>99</v>
      </c>
      <c r="D191" t="s">
        <v>20</v>
      </c>
      <c r="E191" t="s">
        <v>7</v>
      </c>
      <c r="F191" t="s">
        <v>27</v>
      </c>
      <c r="G191">
        <v>3</v>
      </c>
      <c r="H191">
        <v>424.39</v>
      </c>
      <c r="I191">
        <v>10</v>
      </c>
      <c r="J191" t="s">
        <v>32</v>
      </c>
      <c r="K191" t="s">
        <v>92</v>
      </c>
      <c r="L191" t="s">
        <v>38</v>
      </c>
      <c r="M191" t="s">
        <v>336</v>
      </c>
    </row>
    <row r="192" spans="1:13" x14ac:dyDescent="0.3">
      <c r="A192" t="s">
        <v>520</v>
      </c>
      <c r="B192" t="s">
        <v>521</v>
      </c>
      <c r="C192" t="s">
        <v>99</v>
      </c>
      <c r="D192" t="s">
        <v>17</v>
      </c>
      <c r="E192" t="s">
        <v>8</v>
      </c>
      <c r="F192" t="s">
        <v>25</v>
      </c>
      <c r="G192">
        <v>2</v>
      </c>
      <c r="H192">
        <v>659.23</v>
      </c>
      <c r="I192">
        <v>20</v>
      </c>
      <c r="J192" t="s">
        <v>30</v>
      </c>
      <c r="K192" t="s">
        <v>92</v>
      </c>
      <c r="L192" t="s">
        <v>38</v>
      </c>
      <c r="M192" t="s">
        <v>522</v>
      </c>
    </row>
    <row r="193" spans="1:13" x14ac:dyDescent="0.3">
      <c r="A193" t="s">
        <v>523</v>
      </c>
      <c r="B193" t="s">
        <v>265</v>
      </c>
      <c r="C193" t="s">
        <v>114</v>
      </c>
      <c r="D193" t="s">
        <v>16</v>
      </c>
      <c r="E193" t="s">
        <v>14</v>
      </c>
      <c r="F193" t="s">
        <v>28</v>
      </c>
      <c r="G193">
        <v>3</v>
      </c>
      <c r="H193">
        <v>59.75</v>
      </c>
      <c r="I193">
        <v>15</v>
      </c>
      <c r="J193" t="s">
        <v>33</v>
      </c>
      <c r="K193" t="s">
        <v>92</v>
      </c>
      <c r="L193" t="s">
        <v>37</v>
      </c>
      <c r="M193" t="s">
        <v>420</v>
      </c>
    </row>
    <row r="194" spans="1:13" x14ac:dyDescent="0.3">
      <c r="A194" t="s">
        <v>524</v>
      </c>
      <c r="B194" t="s">
        <v>525</v>
      </c>
      <c r="C194" t="s">
        <v>86</v>
      </c>
      <c r="D194" t="s">
        <v>18</v>
      </c>
      <c r="E194" t="s">
        <v>11</v>
      </c>
      <c r="F194" t="s">
        <v>26</v>
      </c>
      <c r="G194">
        <v>1</v>
      </c>
      <c r="H194">
        <v>150.33000000000001</v>
      </c>
      <c r="I194">
        <v>5</v>
      </c>
      <c r="J194" t="s">
        <v>32</v>
      </c>
      <c r="K194" t="s">
        <v>77</v>
      </c>
      <c r="L194" t="s">
        <v>39</v>
      </c>
      <c r="M194" t="s">
        <v>158</v>
      </c>
    </row>
    <row r="195" spans="1:13" x14ac:dyDescent="0.3">
      <c r="A195" t="s">
        <v>526</v>
      </c>
      <c r="B195" t="s">
        <v>527</v>
      </c>
      <c r="C195" t="s">
        <v>121</v>
      </c>
      <c r="D195" t="s">
        <v>18</v>
      </c>
      <c r="E195" t="s">
        <v>13</v>
      </c>
      <c r="F195" t="s">
        <v>28</v>
      </c>
      <c r="G195">
        <v>1</v>
      </c>
      <c r="H195">
        <v>100.36</v>
      </c>
      <c r="I195">
        <v>10</v>
      </c>
      <c r="J195" t="s">
        <v>31</v>
      </c>
      <c r="K195" t="s">
        <v>82</v>
      </c>
      <c r="L195" t="s">
        <v>37</v>
      </c>
      <c r="M195" t="s">
        <v>528</v>
      </c>
    </row>
    <row r="196" spans="1:13" x14ac:dyDescent="0.3">
      <c r="A196" t="s">
        <v>529</v>
      </c>
      <c r="B196" t="s">
        <v>530</v>
      </c>
      <c r="C196" t="s">
        <v>114</v>
      </c>
      <c r="D196" t="s">
        <v>19</v>
      </c>
      <c r="E196" t="s">
        <v>14</v>
      </c>
      <c r="F196" t="s">
        <v>28</v>
      </c>
      <c r="G196">
        <v>1</v>
      </c>
      <c r="H196">
        <v>61.53</v>
      </c>
      <c r="I196">
        <v>20</v>
      </c>
      <c r="J196" t="s">
        <v>33</v>
      </c>
      <c r="K196" t="s">
        <v>82</v>
      </c>
      <c r="L196" t="s">
        <v>37</v>
      </c>
      <c r="M196" t="s">
        <v>486</v>
      </c>
    </row>
    <row r="197" spans="1:13" x14ac:dyDescent="0.3">
      <c r="A197" t="s">
        <v>531</v>
      </c>
      <c r="B197" t="s">
        <v>532</v>
      </c>
      <c r="C197" t="s">
        <v>107</v>
      </c>
      <c r="D197" t="s">
        <v>18</v>
      </c>
      <c r="E197" t="s">
        <v>12</v>
      </c>
      <c r="F197" t="s">
        <v>25</v>
      </c>
      <c r="G197">
        <v>1</v>
      </c>
      <c r="H197">
        <v>109.01</v>
      </c>
      <c r="I197">
        <v>5</v>
      </c>
      <c r="J197" t="s">
        <v>31</v>
      </c>
      <c r="K197" t="s">
        <v>82</v>
      </c>
      <c r="L197" t="s">
        <v>37</v>
      </c>
      <c r="M197" t="s">
        <v>155</v>
      </c>
    </row>
    <row r="198" spans="1:13" x14ac:dyDescent="0.3">
      <c r="A198" t="s">
        <v>533</v>
      </c>
      <c r="B198" t="s">
        <v>450</v>
      </c>
      <c r="C198" t="s">
        <v>127</v>
      </c>
      <c r="D198" t="s">
        <v>17</v>
      </c>
      <c r="E198" t="s">
        <v>8</v>
      </c>
      <c r="F198" t="s">
        <v>25</v>
      </c>
      <c r="G198">
        <v>2</v>
      </c>
      <c r="H198">
        <v>632.01</v>
      </c>
      <c r="I198">
        <v>20</v>
      </c>
      <c r="J198" t="s">
        <v>30</v>
      </c>
      <c r="K198" t="s">
        <v>82</v>
      </c>
      <c r="L198" t="s">
        <v>38</v>
      </c>
      <c r="M198" t="s">
        <v>238</v>
      </c>
    </row>
    <row r="199" spans="1:13" x14ac:dyDescent="0.3">
      <c r="A199" t="s">
        <v>534</v>
      </c>
      <c r="B199" t="s">
        <v>535</v>
      </c>
      <c r="C199" t="s">
        <v>91</v>
      </c>
      <c r="D199" t="s">
        <v>20</v>
      </c>
      <c r="E199" t="s">
        <v>8</v>
      </c>
      <c r="F199" t="s">
        <v>25</v>
      </c>
      <c r="G199">
        <v>5</v>
      </c>
      <c r="H199">
        <v>669.7</v>
      </c>
      <c r="I199">
        <v>10</v>
      </c>
      <c r="J199" t="s">
        <v>31</v>
      </c>
      <c r="K199" t="s">
        <v>77</v>
      </c>
      <c r="L199" t="s">
        <v>37</v>
      </c>
      <c r="M199" t="s">
        <v>536</v>
      </c>
    </row>
    <row r="200" spans="1:13" x14ac:dyDescent="0.3">
      <c r="A200" t="s">
        <v>537</v>
      </c>
      <c r="B200" t="s">
        <v>306</v>
      </c>
      <c r="C200" t="s">
        <v>86</v>
      </c>
      <c r="D200" t="s">
        <v>17</v>
      </c>
      <c r="E200" t="s">
        <v>10</v>
      </c>
      <c r="F200" t="s">
        <v>25</v>
      </c>
      <c r="G200">
        <v>5</v>
      </c>
      <c r="H200">
        <v>397.39</v>
      </c>
      <c r="I200">
        <v>5</v>
      </c>
      <c r="J200" t="s">
        <v>32</v>
      </c>
      <c r="K200" t="s">
        <v>82</v>
      </c>
      <c r="L200" t="s">
        <v>38</v>
      </c>
      <c r="M200" t="s">
        <v>538</v>
      </c>
    </row>
    <row r="201" spans="1:13" x14ac:dyDescent="0.3">
      <c r="A201" t="s">
        <v>539</v>
      </c>
      <c r="B201" t="s">
        <v>252</v>
      </c>
      <c r="C201" t="s">
        <v>91</v>
      </c>
      <c r="D201" t="s">
        <v>17</v>
      </c>
      <c r="E201" t="s">
        <v>6</v>
      </c>
      <c r="F201" t="s">
        <v>26</v>
      </c>
      <c r="G201">
        <v>1</v>
      </c>
      <c r="H201">
        <v>806.9</v>
      </c>
      <c r="I201">
        <v>0</v>
      </c>
      <c r="J201" t="s">
        <v>540</v>
      </c>
      <c r="K201" t="s">
        <v>92</v>
      </c>
      <c r="L201" t="s">
        <v>37</v>
      </c>
      <c r="M201" t="s">
        <v>181</v>
      </c>
    </row>
    <row r="202" spans="1:13" x14ac:dyDescent="0.3">
      <c r="A202" t="s">
        <v>541</v>
      </c>
      <c r="B202" t="s">
        <v>542</v>
      </c>
      <c r="C202" t="s">
        <v>81</v>
      </c>
      <c r="D202" t="s">
        <v>16</v>
      </c>
      <c r="E202" t="s">
        <v>6</v>
      </c>
      <c r="F202" t="s">
        <v>26</v>
      </c>
      <c r="G202">
        <v>2</v>
      </c>
      <c r="H202">
        <v>728.15</v>
      </c>
      <c r="I202">
        <v>15</v>
      </c>
      <c r="J202" t="s">
        <v>33</v>
      </c>
      <c r="K202" t="s">
        <v>77</v>
      </c>
      <c r="L202" t="s">
        <v>37</v>
      </c>
      <c r="M202" t="s">
        <v>100</v>
      </c>
    </row>
    <row r="203" spans="1:13" x14ac:dyDescent="0.3">
      <c r="A203" t="s">
        <v>543</v>
      </c>
      <c r="B203" t="s">
        <v>544</v>
      </c>
      <c r="C203" t="s">
        <v>114</v>
      </c>
      <c r="D203" t="s">
        <v>17</v>
      </c>
      <c r="E203" t="s">
        <v>12</v>
      </c>
      <c r="F203" t="s">
        <v>25</v>
      </c>
      <c r="G203">
        <v>2</v>
      </c>
      <c r="H203">
        <v>132.88</v>
      </c>
      <c r="I203">
        <v>10</v>
      </c>
      <c r="J203" t="s">
        <v>33</v>
      </c>
      <c r="K203" t="s">
        <v>92</v>
      </c>
      <c r="L203" t="s">
        <v>37</v>
      </c>
      <c r="M203" t="s">
        <v>250</v>
      </c>
    </row>
    <row r="204" spans="1:13" x14ac:dyDescent="0.3">
      <c r="A204" t="s">
        <v>545</v>
      </c>
      <c r="B204" t="s">
        <v>482</v>
      </c>
      <c r="C204" t="s">
        <v>86</v>
      </c>
      <c r="D204" t="s">
        <v>16</v>
      </c>
      <c r="E204" t="s">
        <v>5</v>
      </c>
      <c r="F204" t="s">
        <v>25</v>
      </c>
      <c r="G204">
        <v>2</v>
      </c>
      <c r="H204">
        <v>987.73</v>
      </c>
      <c r="I204">
        <v>0</v>
      </c>
      <c r="J204" t="s">
        <v>31</v>
      </c>
      <c r="K204" t="s">
        <v>82</v>
      </c>
      <c r="L204" t="s">
        <v>37</v>
      </c>
      <c r="M204" t="s">
        <v>546</v>
      </c>
    </row>
    <row r="205" spans="1:13" x14ac:dyDescent="0.3">
      <c r="A205" t="s">
        <v>547</v>
      </c>
      <c r="B205" t="s">
        <v>548</v>
      </c>
      <c r="C205" t="s">
        <v>81</v>
      </c>
      <c r="D205" t="s">
        <v>22</v>
      </c>
      <c r="E205" t="s">
        <v>11</v>
      </c>
      <c r="F205" t="s">
        <v>26</v>
      </c>
      <c r="G205">
        <v>4</v>
      </c>
      <c r="H205">
        <v>161.09</v>
      </c>
      <c r="I205">
        <v>0</v>
      </c>
      <c r="J205" t="s">
        <v>30</v>
      </c>
      <c r="K205" t="s">
        <v>77</v>
      </c>
      <c r="L205" t="s">
        <v>39</v>
      </c>
      <c r="M205" t="s">
        <v>549</v>
      </c>
    </row>
    <row r="206" spans="1:13" x14ac:dyDescent="0.3">
      <c r="A206" t="s">
        <v>550</v>
      </c>
      <c r="B206" t="s">
        <v>551</v>
      </c>
      <c r="C206" t="s">
        <v>99</v>
      </c>
      <c r="D206" t="s">
        <v>18</v>
      </c>
      <c r="E206" t="s">
        <v>13</v>
      </c>
      <c r="F206" t="s">
        <v>28</v>
      </c>
      <c r="G206">
        <v>2</v>
      </c>
      <c r="H206">
        <v>87.94</v>
      </c>
      <c r="I206">
        <v>0</v>
      </c>
      <c r="J206" t="s">
        <v>32</v>
      </c>
      <c r="K206" t="s">
        <v>87</v>
      </c>
      <c r="L206" t="s">
        <v>38</v>
      </c>
      <c r="M206" t="s">
        <v>486</v>
      </c>
    </row>
    <row r="207" spans="1:13" x14ac:dyDescent="0.3">
      <c r="A207" t="s">
        <v>552</v>
      </c>
      <c r="B207" t="s">
        <v>410</v>
      </c>
      <c r="C207" t="s">
        <v>107</v>
      </c>
      <c r="D207" t="s">
        <v>16</v>
      </c>
      <c r="E207" t="s">
        <v>7</v>
      </c>
      <c r="F207" t="s">
        <v>27</v>
      </c>
      <c r="G207">
        <v>1</v>
      </c>
      <c r="H207">
        <v>392.18</v>
      </c>
      <c r="I207">
        <v>10</v>
      </c>
      <c r="J207" t="s">
        <v>32</v>
      </c>
      <c r="K207" t="s">
        <v>87</v>
      </c>
      <c r="L207" t="s">
        <v>37</v>
      </c>
      <c r="M207" t="s">
        <v>124</v>
      </c>
    </row>
    <row r="208" spans="1:13" x14ac:dyDescent="0.3">
      <c r="A208" t="s">
        <v>553</v>
      </c>
      <c r="B208" t="s">
        <v>554</v>
      </c>
      <c r="C208" t="s">
        <v>121</v>
      </c>
      <c r="D208" t="s">
        <v>17</v>
      </c>
      <c r="E208" t="s">
        <v>9</v>
      </c>
      <c r="F208" t="s">
        <v>27</v>
      </c>
      <c r="G208">
        <v>1</v>
      </c>
      <c r="H208">
        <v>179.09</v>
      </c>
      <c r="I208">
        <v>15</v>
      </c>
      <c r="J208" t="s">
        <v>30</v>
      </c>
      <c r="K208" t="s">
        <v>87</v>
      </c>
      <c r="L208" t="s">
        <v>39</v>
      </c>
      <c r="M208" t="s">
        <v>261</v>
      </c>
    </row>
    <row r="209" spans="1:13" x14ac:dyDescent="0.3">
      <c r="A209" t="s">
        <v>555</v>
      </c>
      <c r="B209" t="s">
        <v>556</v>
      </c>
      <c r="C209" t="s">
        <v>103</v>
      </c>
      <c r="D209" t="s">
        <v>17</v>
      </c>
      <c r="E209" t="s">
        <v>11</v>
      </c>
      <c r="F209" t="s">
        <v>26</v>
      </c>
      <c r="G209">
        <v>1</v>
      </c>
      <c r="H209">
        <v>162.47999999999999</v>
      </c>
      <c r="I209">
        <v>10</v>
      </c>
      <c r="J209" t="s">
        <v>32</v>
      </c>
      <c r="K209" t="s">
        <v>82</v>
      </c>
      <c r="L209" t="s">
        <v>37</v>
      </c>
      <c r="M209" t="s">
        <v>341</v>
      </c>
    </row>
    <row r="210" spans="1:13" x14ac:dyDescent="0.3">
      <c r="A210" t="s">
        <v>557</v>
      </c>
      <c r="B210" t="s">
        <v>558</v>
      </c>
      <c r="C210" t="s">
        <v>127</v>
      </c>
      <c r="D210" t="s">
        <v>18</v>
      </c>
      <c r="E210" t="s">
        <v>10</v>
      </c>
      <c r="F210" t="s">
        <v>25</v>
      </c>
      <c r="G210">
        <v>1</v>
      </c>
      <c r="H210">
        <v>354.9</v>
      </c>
      <c r="I210">
        <v>15</v>
      </c>
      <c r="J210" t="s">
        <v>32</v>
      </c>
      <c r="K210" t="s">
        <v>92</v>
      </c>
      <c r="L210" t="s">
        <v>38</v>
      </c>
      <c r="M210" t="s">
        <v>559</v>
      </c>
    </row>
    <row r="211" spans="1:13" x14ac:dyDescent="0.3">
      <c r="A211" t="s">
        <v>560</v>
      </c>
      <c r="B211" t="s">
        <v>126</v>
      </c>
      <c r="C211" t="s">
        <v>121</v>
      </c>
      <c r="D211" t="s">
        <v>16</v>
      </c>
      <c r="E211" t="s">
        <v>13</v>
      </c>
      <c r="F211" t="s">
        <v>28</v>
      </c>
      <c r="G211">
        <v>2</v>
      </c>
      <c r="H211">
        <v>81.27</v>
      </c>
      <c r="I211">
        <v>0</v>
      </c>
      <c r="J211" t="s">
        <v>32</v>
      </c>
      <c r="K211" t="s">
        <v>82</v>
      </c>
      <c r="L211" t="s">
        <v>37</v>
      </c>
      <c r="M211" t="s">
        <v>189</v>
      </c>
    </row>
    <row r="212" spans="1:13" x14ac:dyDescent="0.3">
      <c r="A212" t="s">
        <v>561</v>
      </c>
      <c r="B212" t="s">
        <v>562</v>
      </c>
      <c r="C212" t="s">
        <v>86</v>
      </c>
      <c r="D212" t="s">
        <v>16</v>
      </c>
      <c r="E212" t="s">
        <v>12</v>
      </c>
      <c r="F212" t="s">
        <v>25</v>
      </c>
      <c r="G212">
        <v>2</v>
      </c>
      <c r="H212">
        <v>115.23</v>
      </c>
      <c r="I212">
        <v>20</v>
      </c>
      <c r="J212" t="s">
        <v>32</v>
      </c>
      <c r="K212" t="s">
        <v>92</v>
      </c>
      <c r="L212" t="s">
        <v>37</v>
      </c>
      <c r="M212" t="s">
        <v>332</v>
      </c>
    </row>
    <row r="213" spans="1:13" x14ac:dyDescent="0.3">
      <c r="A213" t="s">
        <v>563</v>
      </c>
      <c r="B213" t="s">
        <v>268</v>
      </c>
      <c r="C213" t="s">
        <v>76</v>
      </c>
      <c r="D213" t="s">
        <v>17</v>
      </c>
      <c r="E213" t="s">
        <v>6</v>
      </c>
      <c r="F213" t="s">
        <v>26</v>
      </c>
      <c r="G213">
        <v>1</v>
      </c>
      <c r="H213">
        <v>749.43</v>
      </c>
      <c r="I213">
        <v>20</v>
      </c>
      <c r="J213" t="s">
        <v>33</v>
      </c>
      <c r="K213" t="s">
        <v>92</v>
      </c>
      <c r="L213" t="s">
        <v>37</v>
      </c>
      <c r="M213" t="s">
        <v>564</v>
      </c>
    </row>
    <row r="214" spans="1:13" x14ac:dyDescent="0.3">
      <c r="A214" t="s">
        <v>565</v>
      </c>
      <c r="B214" t="s">
        <v>566</v>
      </c>
      <c r="C214" t="s">
        <v>76</v>
      </c>
      <c r="D214" t="s">
        <v>18</v>
      </c>
      <c r="E214" t="s">
        <v>6</v>
      </c>
      <c r="F214" t="s">
        <v>26</v>
      </c>
      <c r="G214">
        <v>1</v>
      </c>
      <c r="H214">
        <v>794.82</v>
      </c>
      <c r="I214">
        <v>20</v>
      </c>
      <c r="J214" t="s">
        <v>32</v>
      </c>
      <c r="K214" t="s">
        <v>87</v>
      </c>
      <c r="L214" t="s">
        <v>37</v>
      </c>
      <c r="M214" t="s">
        <v>465</v>
      </c>
    </row>
    <row r="215" spans="1:13" x14ac:dyDescent="0.3">
      <c r="A215" t="s">
        <v>567</v>
      </c>
      <c r="B215" t="s">
        <v>351</v>
      </c>
      <c r="C215" t="s">
        <v>107</v>
      </c>
      <c r="D215" t="s">
        <v>20</v>
      </c>
      <c r="E215" t="s">
        <v>13</v>
      </c>
      <c r="F215" t="s">
        <v>28</v>
      </c>
      <c r="G215">
        <v>4</v>
      </c>
      <c r="H215">
        <v>86.17</v>
      </c>
      <c r="I215">
        <v>15</v>
      </c>
      <c r="J215" t="s">
        <v>30</v>
      </c>
      <c r="K215" t="s">
        <v>92</v>
      </c>
      <c r="L215" t="s">
        <v>37</v>
      </c>
      <c r="M215" t="s">
        <v>568</v>
      </c>
    </row>
    <row r="216" spans="1:13" x14ac:dyDescent="0.3">
      <c r="A216" t="s">
        <v>569</v>
      </c>
      <c r="B216" t="s">
        <v>463</v>
      </c>
      <c r="C216" t="s">
        <v>76</v>
      </c>
      <c r="D216" t="s">
        <v>16</v>
      </c>
      <c r="E216" t="s">
        <v>7</v>
      </c>
      <c r="F216" t="s">
        <v>27</v>
      </c>
      <c r="G216">
        <v>1</v>
      </c>
      <c r="H216">
        <v>399.75</v>
      </c>
      <c r="I216">
        <v>0</v>
      </c>
      <c r="J216" t="s">
        <v>31</v>
      </c>
      <c r="K216" t="s">
        <v>77</v>
      </c>
      <c r="L216" t="s">
        <v>39</v>
      </c>
      <c r="M216" t="s">
        <v>347</v>
      </c>
    </row>
    <row r="217" spans="1:13" x14ac:dyDescent="0.3">
      <c r="A217" t="s">
        <v>570</v>
      </c>
      <c r="B217" t="s">
        <v>130</v>
      </c>
      <c r="C217" t="s">
        <v>86</v>
      </c>
      <c r="D217" t="s">
        <v>20</v>
      </c>
      <c r="E217" t="s">
        <v>6</v>
      </c>
      <c r="F217" t="s">
        <v>26</v>
      </c>
      <c r="G217">
        <v>2</v>
      </c>
      <c r="H217">
        <v>729.29</v>
      </c>
      <c r="I217">
        <v>0</v>
      </c>
      <c r="J217" t="s">
        <v>32</v>
      </c>
      <c r="K217" t="s">
        <v>82</v>
      </c>
      <c r="L217" t="s">
        <v>38</v>
      </c>
      <c r="M217" t="s">
        <v>217</v>
      </c>
    </row>
    <row r="218" spans="1:13" x14ac:dyDescent="0.3">
      <c r="A218" t="s">
        <v>571</v>
      </c>
      <c r="B218" t="s">
        <v>434</v>
      </c>
      <c r="C218" t="s">
        <v>114</v>
      </c>
      <c r="D218" t="s">
        <v>572</v>
      </c>
      <c r="E218" t="s">
        <v>7</v>
      </c>
      <c r="F218" t="s">
        <v>27</v>
      </c>
      <c r="G218">
        <v>2</v>
      </c>
      <c r="H218">
        <v>417.42</v>
      </c>
      <c r="I218">
        <v>20</v>
      </c>
      <c r="J218" t="s">
        <v>30</v>
      </c>
      <c r="K218" t="s">
        <v>82</v>
      </c>
      <c r="L218" t="s">
        <v>38</v>
      </c>
      <c r="M218" t="s">
        <v>381</v>
      </c>
    </row>
    <row r="219" spans="1:13" x14ac:dyDescent="0.3">
      <c r="A219" t="s">
        <v>573</v>
      </c>
      <c r="B219" t="s">
        <v>296</v>
      </c>
      <c r="C219" t="s">
        <v>86</v>
      </c>
      <c r="D219" t="s">
        <v>16</v>
      </c>
      <c r="E219" t="s">
        <v>12</v>
      </c>
      <c r="F219" t="s">
        <v>25</v>
      </c>
      <c r="G219">
        <v>1</v>
      </c>
      <c r="H219">
        <v>119.4</v>
      </c>
      <c r="I219">
        <v>0</v>
      </c>
      <c r="J219" t="s">
        <v>33</v>
      </c>
      <c r="K219" t="s">
        <v>92</v>
      </c>
      <c r="L219" t="s">
        <v>39</v>
      </c>
      <c r="M219" t="s">
        <v>269</v>
      </c>
    </row>
    <row r="220" spans="1:13" x14ac:dyDescent="0.3">
      <c r="A220" t="s">
        <v>574</v>
      </c>
      <c r="B220" t="s">
        <v>326</v>
      </c>
      <c r="C220" t="s">
        <v>103</v>
      </c>
      <c r="D220" t="s">
        <v>18</v>
      </c>
      <c r="E220" t="s">
        <v>11</v>
      </c>
      <c r="F220" t="s">
        <v>26</v>
      </c>
      <c r="G220">
        <v>1</v>
      </c>
      <c r="H220">
        <v>145.12</v>
      </c>
      <c r="I220">
        <v>5</v>
      </c>
      <c r="J220" t="s">
        <v>32</v>
      </c>
      <c r="K220" t="s">
        <v>92</v>
      </c>
      <c r="L220" t="s">
        <v>37</v>
      </c>
      <c r="M220" t="s">
        <v>228</v>
      </c>
    </row>
    <row r="221" spans="1:13" x14ac:dyDescent="0.3">
      <c r="A221" t="s">
        <v>575</v>
      </c>
      <c r="B221" t="s">
        <v>357</v>
      </c>
      <c r="C221" t="s">
        <v>107</v>
      </c>
      <c r="D221" t="s">
        <v>16</v>
      </c>
      <c r="E221" t="s">
        <v>12</v>
      </c>
      <c r="F221" t="s">
        <v>25</v>
      </c>
      <c r="G221">
        <v>1</v>
      </c>
      <c r="H221">
        <v>110.79</v>
      </c>
      <c r="I221">
        <v>5</v>
      </c>
      <c r="J221" t="s">
        <v>32</v>
      </c>
      <c r="K221" t="s">
        <v>92</v>
      </c>
      <c r="L221" t="s">
        <v>39</v>
      </c>
      <c r="M221" t="s">
        <v>483</v>
      </c>
    </row>
    <row r="222" spans="1:13" x14ac:dyDescent="0.3">
      <c r="A222" t="s">
        <v>576</v>
      </c>
      <c r="B222" t="s">
        <v>202</v>
      </c>
      <c r="C222" t="s">
        <v>91</v>
      </c>
      <c r="D222" t="s">
        <v>16</v>
      </c>
      <c r="E222" t="s">
        <v>5</v>
      </c>
      <c r="F222" t="s">
        <v>25</v>
      </c>
      <c r="G222">
        <v>2</v>
      </c>
      <c r="H222">
        <v>1017.76</v>
      </c>
      <c r="I222">
        <v>0</v>
      </c>
      <c r="J222" t="s">
        <v>32</v>
      </c>
      <c r="K222" t="s">
        <v>82</v>
      </c>
      <c r="L222" t="s">
        <v>37</v>
      </c>
      <c r="M222" t="s">
        <v>220</v>
      </c>
    </row>
    <row r="223" spans="1:13" x14ac:dyDescent="0.3">
      <c r="A223" t="s">
        <v>577</v>
      </c>
      <c r="B223" t="s">
        <v>578</v>
      </c>
      <c r="C223" t="s">
        <v>86</v>
      </c>
      <c r="D223" t="s">
        <v>16</v>
      </c>
      <c r="E223" t="s">
        <v>8</v>
      </c>
      <c r="F223" t="s">
        <v>25</v>
      </c>
      <c r="G223">
        <v>1</v>
      </c>
      <c r="H223">
        <v>653.42999999999995</v>
      </c>
      <c r="I223">
        <v>0</v>
      </c>
      <c r="J223" t="s">
        <v>32</v>
      </c>
      <c r="K223" t="s">
        <v>82</v>
      </c>
      <c r="L223" t="s">
        <v>37</v>
      </c>
      <c r="M223" t="s">
        <v>427</v>
      </c>
    </row>
    <row r="224" spans="1:13" x14ac:dyDescent="0.3">
      <c r="A224" t="s">
        <v>579</v>
      </c>
      <c r="B224" t="s">
        <v>580</v>
      </c>
      <c r="C224" t="s">
        <v>127</v>
      </c>
      <c r="D224" t="s">
        <v>18</v>
      </c>
      <c r="E224" t="s">
        <v>12</v>
      </c>
      <c r="F224" t="s">
        <v>25</v>
      </c>
      <c r="G224">
        <v>1</v>
      </c>
      <c r="H224">
        <v>108.2</v>
      </c>
      <c r="I224">
        <v>20</v>
      </c>
      <c r="J224" t="s">
        <v>30</v>
      </c>
      <c r="K224" t="s">
        <v>77</v>
      </c>
      <c r="L224" t="s">
        <v>37</v>
      </c>
      <c r="M224" t="s">
        <v>344</v>
      </c>
    </row>
    <row r="225" spans="1:13" x14ac:dyDescent="0.3">
      <c r="A225" t="s">
        <v>581</v>
      </c>
      <c r="B225" t="s">
        <v>525</v>
      </c>
      <c r="C225" t="s">
        <v>86</v>
      </c>
      <c r="D225" t="s">
        <v>19</v>
      </c>
      <c r="E225" t="s">
        <v>6</v>
      </c>
      <c r="F225" t="s">
        <v>26</v>
      </c>
      <c r="G225">
        <v>3</v>
      </c>
      <c r="H225">
        <v>869.6</v>
      </c>
      <c r="I225">
        <v>15</v>
      </c>
      <c r="J225" t="s">
        <v>31</v>
      </c>
      <c r="K225" t="s">
        <v>77</v>
      </c>
      <c r="L225" t="s">
        <v>37</v>
      </c>
      <c r="M225" t="s">
        <v>582</v>
      </c>
    </row>
    <row r="226" spans="1:13" x14ac:dyDescent="0.3">
      <c r="A226" t="s">
        <v>583</v>
      </c>
      <c r="B226" t="s">
        <v>584</v>
      </c>
      <c r="C226" t="s">
        <v>127</v>
      </c>
      <c r="D226" t="s">
        <v>21</v>
      </c>
      <c r="E226" t="s">
        <v>8</v>
      </c>
      <c r="F226" t="s">
        <v>25</v>
      </c>
      <c r="G226">
        <v>4</v>
      </c>
      <c r="H226">
        <v>742.42</v>
      </c>
      <c r="I226">
        <v>0</v>
      </c>
      <c r="J226" t="s">
        <v>32</v>
      </c>
      <c r="K226" t="s">
        <v>87</v>
      </c>
      <c r="L226" t="s">
        <v>39</v>
      </c>
      <c r="M226" t="s">
        <v>585</v>
      </c>
    </row>
    <row r="227" spans="1:13" x14ac:dyDescent="0.3">
      <c r="A227" t="s">
        <v>586</v>
      </c>
      <c r="B227" t="s">
        <v>394</v>
      </c>
      <c r="C227" t="s">
        <v>103</v>
      </c>
      <c r="D227" t="s">
        <v>17</v>
      </c>
      <c r="E227" t="s">
        <v>12</v>
      </c>
      <c r="F227" t="s">
        <v>25</v>
      </c>
      <c r="G227">
        <v>3</v>
      </c>
      <c r="H227">
        <v>131.87</v>
      </c>
      <c r="I227">
        <v>0</v>
      </c>
      <c r="J227" t="s">
        <v>31</v>
      </c>
      <c r="K227" t="s">
        <v>87</v>
      </c>
      <c r="L227" t="s">
        <v>39</v>
      </c>
      <c r="M227" t="s">
        <v>124</v>
      </c>
    </row>
    <row r="228" spans="1:13" x14ac:dyDescent="0.3">
      <c r="A228" t="s">
        <v>587</v>
      </c>
      <c r="B228" t="s">
        <v>482</v>
      </c>
      <c r="C228" t="s">
        <v>114</v>
      </c>
      <c r="D228" t="s">
        <v>19</v>
      </c>
      <c r="E228" t="s">
        <v>6</v>
      </c>
      <c r="F228" t="s">
        <v>26</v>
      </c>
      <c r="G228">
        <v>3</v>
      </c>
      <c r="H228">
        <v>716.42</v>
      </c>
      <c r="I228">
        <v>10</v>
      </c>
      <c r="J228" t="s">
        <v>32</v>
      </c>
      <c r="K228" t="s">
        <v>92</v>
      </c>
      <c r="L228" t="s">
        <v>38</v>
      </c>
      <c r="M228" t="s">
        <v>128</v>
      </c>
    </row>
    <row r="229" spans="1:13" x14ac:dyDescent="0.3">
      <c r="A229" t="s">
        <v>588</v>
      </c>
      <c r="B229" t="s">
        <v>183</v>
      </c>
      <c r="C229" t="s">
        <v>86</v>
      </c>
      <c r="D229" t="s">
        <v>21</v>
      </c>
      <c r="E229" t="s">
        <v>13</v>
      </c>
      <c r="F229" t="s">
        <v>28</v>
      </c>
      <c r="G229">
        <v>2</v>
      </c>
      <c r="H229">
        <v>101.57</v>
      </c>
      <c r="I229">
        <v>15</v>
      </c>
      <c r="J229" t="s">
        <v>33</v>
      </c>
      <c r="K229" t="s">
        <v>77</v>
      </c>
      <c r="L229" t="s">
        <v>37</v>
      </c>
      <c r="M229" t="s">
        <v>347</v>
      </c>
    </row>
    <row r="230" spans="1:13" x14ac:dyDescent="0.3">
      <c r="A230" t="s">
        <v>589</v>
      </c>
      <c r="B230" t="s">
        <v>410</v>
      </c>
      <c r="C230" t="s">
        <v>121</v>
      </c>
      <c r="D230" t="s">
        <v>19</v>
      </c>
      <c r="E230" t="s">
        <v>6</v>
      </c>
      <c r="F230" t="s">
        <v>26</v>
      </c>
      <c r="G230">
        <v>1</v>
      </c>
      <c r="H230">
        <v>721.23</v>
      </c>
      <c r="I230">
        <v>10</v>
      </c>
      <c r="J230" t="s">
        <v>31</v>
      </c>
      <c r="K230" t="s">
        <v>77</v>
      </c>
      <c r="L230" t="s">
        <v>38</v>
      </c>
      <c r="M230" t="s">
        <v>332</v>
      </c>
    </row>
    <row r="231" spans="1:13" x14ac:dyDescent="0.3">
      <c r="A231" t="s">
        <v>590</v>
      </c>
      <c r="B231" t="s">
        <v>591</v>
      </c>
      <c r="C231" t="s">
        <v>91</v>
      </c>
      <c r="D231" t="s">
        <v>16</v>
      </c>
      <c r="E231" t="s">
        <v>12</v>
      </c>
      <c r="F231" t="s">
        <v>25</v>
      </c>
      <c r="G231">
        <v>1</v>
      </c>
      <c r="H231">
        <v>136.22</v>
      </c>
      <c r="I231">
        <v>5</v>
      </c>
      <c r="J231" t="s">
        <v>31</v>
      </c>
      <c r="K231" t="s">
        <v>77</v>
      </c>
      <c r="L231" t="s">
        <v>37</v>
      </c>
      <c r="M231" t="s">
        <v>184</v>
      </c>
    </row>
    <row r="232" spans="1:13" x14ac:dyDescent="0.3">
      <c r="A232" t="s">
        <v>592</v>
      </c>
      <c r="B232" t="s">
        <v>593</v>
      </c>
      <c r="C232" t="s">
        <v>76</v>
      </c>
      <c r="D232" t="s">
        <v>16</v>
      </c>
      <c r="E232" t="s">
        <v>11</v>
      </c>
      <c r="F232" t="s">
        <v>26</v>
      </c>
      <c r="G232">
        <v>1</v>
      </c>
      <c r="H232">
        <v>162.07</v>
      </c>
      <c r="I232">
        <v>0</v>
      </c>
      <c r="J232" t="s">
        <v>33</v>
      </c>
      <c r="K232" t="s">
        <v>92</v>
      </c>
      <c r="L232" t="s">
        <v>37</v>
      </c>
      <c r="M232" t="s">
        <v>594</v>
      </c>
    </row>
    <row r="233" spans="1:13" x14ac:dyDescent="0.3">
      <c r="A233" t="s">
        <v>595</v>
      </c>
      <c r="B233" t="s">
        <v>542</v>
      </c>
      <c r="C233" t="s">
        <v>103</v>
      </c>
      <c r="D233" t="s">
        <v>19</v>
      </c>
      <c r="E233" t="s">
        <v>12</v>
      </c>
      <c r="F233" t="s">
        <v>25</v>
      </c>
      <c r="G233">
        <v>2</v>
      </c>
      <c r="H233">
        <v>112.93</v>
      </c>
      <c r="I233">
        <v>0</v>
      </c>
      <c r="J233" t="s">
        <v>30</v>
      </c>
      <c r="K233" t="s">
        <v>77</v>
      </c>
      <c r="L233" t="s">
        <v>38</v>
      </c>
      <c r="M233" t="s">
        <v>104</v>
      </c>
    </row>
    <row r="234" spans="1:13" x14ac:dyDescent="0.3">
      <c r="A234" t="s">
        <v>596</v>
      </c>
      <c r="B234" t="s">
        <v>434</v>
      </c>
      <c r="C234" t="s">
        <v>114</v>
      </c>
      <c r="D234" t="s">
        <v>20</v>
      </c>
      <c r="E234" t="s">
        <v>9</v>
      </c>
      <c r="F234" t="s">
        <v>27</v>
      </c>
      <c r="G234">
        <v>3</v>
      </c>
      <c r="H234">
        <v>190.34</v>
      </c>
      <c r="I234">
        <v>15</v>
      </c>
      <c r="J234" t="s">
        <v>31</v>
      </c>
      <c r="K234" t="s">
        <v>77</v>
      </c>
      <c r="L234" t="s">
        <v>39</v>
      </c>
      <c r="M234" t="s">
        <v>366</v>
      </c>
    </row>
    <row r="235" spans="1:13" x14ac:dyDescent="0.3">
      <c r="A235" t="s">
        <v>597</v>
      </c>
      <c r="B235" t="s">
        <v>230</v>
      </c>
      <c r="C235" t="s">
        <v>127</v>
      </c>
      <c r="D235" t="s">
        <v>20</v>
      </c>
      <c r="E235" t="s">
        <v>6</v>
      </c>
      <c r="F235" t="s">
        <v>26</v>
      </c>
      <c r="G235">
        <v>1</v>
      </c>
      <c r="H235">
        <v>743.89</v>
      </c>
      <c r="I235">
        <v>20</v>
      </c>
      <c r="J235" t="s">
        <v>31</v>
      </c>
      <c r="K235" t="s">
        <v>87</v>
      </c>
      <c r="L235" t="s">
        <v>37</v>
      </c>
      <c r="M235" t="s">
        <v>598</v>
      </c>
    </row>
    <row r="236" spans="1:13" x14ac:dyDescent="0.3">
      <c r="A236" t="s">
        <v>599</v>
      </c>
      <c r="B236" t="s">
        <v>243</v>
      </c>
      <c r="C236" t="s">
        <v>86</v>
      </c>
      <c r="D236" t="s">
        <v>19</v>
      </c>
      <c r="E236" t="s">
        <v>9</v>
      </c>
      <c r="F236" t="s">
        <v>27</v>
      </c>
      <c r="G236">
        <v>1</v>
      </c>
      <c r="H236">
        <v>173.81</v>
      </c>
      <c r="I236">
        <v>5</v>
      </c>
      <c r="J236" t="s">
        <v>32</v>
      </c>
      <c r="K236" t="s">
        <v>92</v>
      </c>
      <c r="L236" t="s">
        <v>38</v>
      </c>
      <c r="M236" t="s">
        <v>184</v>
      </c>
    </row>
    <row r="237" spans="1:13" x14ac:dyDescent="0.3">
      <c r="A237" t="s">
        <v>600</v>
      </c>
      <c r="B237" t="s">
        <v>493</v>
      </c>
      <c r="C237" t="s">
        <v>127</v>
      </c>
      <c r="D237" t="s">
        <v>20</v>
      </c>
      <c r="E237" t="s">
        <v>7</v>
      </c>
      <c r="F237" t="s">
        <v>27</v>
      </c>
      <c r="G237">
        <v>3</v>
      </c>
      <c r="H237">
        <v>442.82</v>
      </c>
      <c r="I237">
        <v>15</v>
      </c>
      <c r="J237" t="s">
        <v>31</v>
      </c>
      <c r="K237" t="s">
        <v>87</v>
      </c>
      <c r="L237" t="s">
        <v>38</v>
      </c>
      <c r="M237" t="s">
        <v>546</v>
      </c>
    </row>
    <row r="238" spans="1:13" x14ac:dyDescent="0.3">
      <c r="A238" t="s">
        <v>601</v>
      </c>
      <c r="B238" t="s">
        <v>591</v>
      </c>
      <c r="C238" t="s">
        <v>114</v>
      </c>
      <c r="D238" t="s">
        <v>18</v>
      </c>
      <c r="E238" t="s">
        <v>9</v>
      </c>
      <c r="F238" t="s">
        <v>27</v>
      </c>
      <c r="G238">
        <v>1</v>
      </c>
      <c r="H238">
        <v>170.24</v>
      </c>
      <c r="I238">
        <v>10</v>
      </c>
      <c r="J238" t="s">
        <v>31</v>
      </c>
      <c r="K238" t="s">
        <v>77</v>
      </c>
      <c r="L238" t="s">
        <v>38</v>
      </c>
      <c r="M238" t="s">
        <v>169</v>
      </c>
    </row>
    <row r="239" spans="1:13" x14ac:dyDescent="0.3">
      <c r="A239" t="s">
        <v>602</v>
      </c>
      <c r="B239" t="s">
        <v>603</v>
      </c>
      <c r="C239" t="s">
        <v>103</v>
      </c>
      <c r="D239" t="s">
        <v>18</v>
      </c>
      <c r="E239" t="s">
        <v>8</v>
      </c>
      <c r="F239" t="s">
        <v>25</v>
      </c>
      <c r="G239">
        <v>2</v>
      </c>
      <c r="H239">
        <v>672.32</v>
      </c>
      <c r="I239">
        <v>0</v>
      </c>
      <c r="J239" t="s">
        <v>31</v>
      </c>
      <c r="K239" t="s">
        <v>82</v>
      </c>
      <c r="L239" t="s">
        <v>38</v>
      </c>
      <c r="M239" t="s">
        <v>582</v>
      </c>
    </row>
    <row r="240" spans="1:13" x14ac:dyDescent="0.3">
      <c r="A240" t="s">
        <v>604</v>
      </c>
      <c r="B240" t="s">
        <v>566</v>
      </c>
      <c r="C240" t="s">
        <v>103</v>
      </c>
      <c r="D240" t="s">
        <v>21</v>
      </c>
      <c r="E240" t="s">
        <v>11</v>
      </c>
      <c r="F240" t="s">
        <v>26</v>
      </c>
      <c r="G240">
        <v>2</v>
      </c>
      <c r="H240">
        <v>167.46</v>
      </c>
      <c r="I240">
        <v>20</v>
      </c>
      <c r="J240" t="s">
        <v>32</v>
      </c>
      <c r="K240" t="s">
        <v>77</v>
      </c>
      <c r="L240" t="s">
        <v>605</v>
      </c>
      <c r="M240" t="s">
        <v>178</v>
      </c>
    </row>
    <row r="241" spans="1:13" x14ac:dyDescent="0.3">
      <c r="A241" t="s">
        <v>606</v>
      </c>
      <c r="B241" t="s">
        <v>243</v>
      </c>
      <c r="C241" t="s">
        <v>76</v>
      </c>
      <c r="D241" t="s">
        <v>19</v>
      </c>
      <c r="E241" t="s">
        <v>11</v>
      </c>
      <c r="F241" t="s">
        <v>26</v>
      </c>
      <c r="G241">
        <v>1</v>
      </c>
      <c r="H241">
        <v>166.5</v>
      </c>
      <c r="I241">
        <v>0</v>
      </c>
      <c r="J241" t="s">
        <v>31</v>
      </c>
      <c r="K241" t="s">
        <v>87</v>
      </c>
      <c r="L241" t="s">
        <v>37</v>
      </c>
      <c r="M241" t="s">
        <v>78</v>
      </c>
    </row>
    <row r="242" spans="1:13" x14ac:dyDescent="0.3">
      <c r="A242" t="s">
        <v>607</v>
      </c>
      <c r="B242" t="s">
        <v>160</v>
      </c>
      <c r="C242" t="s">
        <v>99</v>
      </c>
      <c r="D242" t="s">
        <v>19</v>
      </c>
      <c r="E242" t="s">
        <v>14</v>
      </c>
      <c r="F242" t="s">
        <v>28</v>
      </c>
      <c r="G242">
        <v>1</v>
      </c>
      <c r="H242">
        <v>53.47</v>
      </c>
      <c r="I242">
        <v>10</v>
      </c>
      <c r="J242" t="s">
        <v>33</v>
      </c>
      <c r="K242" t="s">
        <v>92</v>
      </c>
      <c r="L242" t="s">
        <v>38</v>
      </c>
      <c r="M242" t="s">
        <v>513</v>
      </c>
    </row>
    <row r="243" spans="1:13" x14ac:dyDescent="0.3">
      <c r="A243" t="s">
        <v>608</v>
      </c>
      <c r="B243" t="s">
        <v>240</v>
      </c>
      <c r="C243" t="s">
        <v>121</v>
      </c>
      <c r="D243" t="s">
        <v>609</v>
      </c>
      <c r="E243" t="s">
        <v>13</v>
      </c>
      <c r="F243" t="s">
        <v>28</v>
      </c>
      <c r="G243">
        <v>3</v>
      </c>
      <c r="H243">
        <v>89.25</v>
      </c>
      <c r="I243">
        <v>5</v>
      </c>
      <c r="J243" t="s">
        <v>33</v>
      </c>
      <c r="K243" t="s">
        <v>82</v>
      </c>
      <c r="L243" t="s">
        <v>39</v>
      </c>
      <c r="M243" t="s">
        <v>538</v>
      </c>
    </row>
    <row r="244" spans="1:13" x14ac:dyDescent="0.3">
      <c r="A244" t="s">
        <v>610</v>
      </c>
      <c r="B244" t="s">
        <v>611</v>
      </c>
      <c r="C244" t="s">
        <v>76</v>
      </c>
      <c r="D244" t="s">
        <v>21</v>
      </c>
      <c r="E244" t="s">
        <v>10</v>
      </c>
      <c r="F244" t="s">
        <v>25</v>
      </c>
      <c r="G244">
        <v>1</v>
      </c>
      <c r="H244">
        <v>345.5</v>
      </c>
      <c r="I244">
        <v>0</v>
      </c>
      <c r="J244" t="s">
        <v>30</v>
      </c>
      <c r="K244" t="s">
        <v>77</v>
      </c>
      <c r="L244" t="s">
        <v>39</v>
      </c>
      <c r="M244" t="s">
        <v>311</v>
      </c>
    </row>
    <row r="245" spans="1:13" x14ac:dyDescent="0.3">
      <c r="A245" t="s">
        <v>612</v>
      </c>
      <c r="B245" t="s">
        <v>346</v>
      </c>
      <c r="C245" t="s">
        <v>127</v>
      </c>
      <c r="D245" t="s">
        <v>16</v>
      </c>
      <c r="E245" t="s">
        <v>5</v>
      </c>
      <c r="F245" t="s">
        <v>25</v>
      </c>
      <c r="G245">
        <v>1</v>
      </c>
      <c r="H245">
        <v>904.07</v>
      </c>
      <c r="I245">
        <v>10</v>
      </c>
      <c r="J245" t="s">
        <v>30</v>
      </c>
      <c r="K245" t="s">
        <v>82</v>
      </c>
      <c r="L245" t="s">
        <v>37</v>
      </c>
      <c r="M245" t="s">
        <v>247</v>
      </c>
    </row>
    <row r="246" spans="1:13" x14ac:dyDescent="0.3">
      <c r="A246" t="s">
        <v>613</v>
      </c>
      <c r="B246" t="s">
        <v>614</v>
      </c>
      <c r="C246" t="s">
        <v>103</v>
      </c>
      <c r="D246" t="s">
        <v>18</v>
      </c>
      <c r="E246" t="s">
        <v>14</v>
      </c>
      <c r="F246" t="s">
        <v>28</v>
      </c>
      <c r="G246">
        <v>1</v>
      </c>
      <c r="H246">
        <v>53.18</v>
      </c>
      <c r="I246">
        <v>0</v>
      </c>
      <c r="J246" t="s">
        <v>30</v>
      </c>
      <c r="K246" t="s">
        <v>82</v>
      </c>
      <c r="L246" t="s">
        <v>37</v>
      </c>
      <c r="M246" t="s">
        <v>22</v>
      </c>
    </row>
    <row r="247" spans="1:13" x14ac:dyDescent="0.3">
      <c r="A247" t="s">
        <v>615</v>
      </c>
      <c r="B247" t="s">
        <v>616</v>
      </c>
      <c r="C247" t="s">
        <v>99</v>
      </c>
      <c r="D247" t="s">
        <v>21</v>
      </c>
      <c r="E247" t="s">
        <v>9</v>
      </c>
      <c r="F247" t="s">
        <v>27</v>
      </c>
      <c r="G247">
        <v>1</v>
      </c>
      <c r="H247">
        <v>176.49</v>
      </c>
      <c r="I247">
        <v>10</v>
      </c>
      <c r="J247" t="s">
        <v>30</v>
      </c>
      <c r="K247" t="s">
        <v>77</v>
      </c>
      <c r="L247" t="s">
        <v>39</v>
      </c>
      <c r="M247" t="s">
        <v>93</v>
      </c>
    </row>
    <row r="248" spans="1:13" x14ac:dyDescent="0.3">
      <c r="A248" t="s">
        <v>617</v>
      </c>
      <c r="B248" t="s">
        <v>618</v>
      </c>
      <c r="C248" t="s">
        <v>121</v>
      </c>
      <c r="D248" t="s">
        <v>17</v>
      </c>
      <c r="E248" t="s">
        <v>11</v>
      </c>
      <c r="F248" t="s">
        <v>26</v>
      </c>
      <c r="G248">
        <v>1</v>
      </c>
      <c r="H248">
        <v>164.8</v>
      </c>
      <c r="I248">
        <v>0</v>
      </c>
      <c r="J248" t="s">
        <v>30</v>
      </c>
      <c r="K248" t="s">
        <v>77</v>
      </c>
      <c r="L248" t="s">
        <v>39</v>
      </c>
      <c r="M248" t="s">
        <v>139</v>
      </c>
    </row>
    <row r="249" spans="1:13" x14ac:dyDescent="0.3">
      <c r="A249" t="s">
        <v>619</v>
      </c>
      <c r="B249" t="s">
        <v>618</v>
      </c>
      <c r="C249" t="s">
        <v>86</v>
      </c>
      <c r="D249" t="s">
        <v>20</v>
      </c>
      <c r="E249" t="s">
        <v>7</v>
      </c>
      <c r="F249" t="s">
        <v>27</v>
      </c>
      <c r="G249">
        <v>2</v>
      </c>
      <c r="H249">
        <v>469.24</v>
      </c>
      <c r="I249">
        <v>20</v>
      </c>
      <c r="J249" t="s">
        <v>32</v>
      </c>
      <c r="K249" t="s">
        <v>82</v>
      </c>
      <c r="L249" t="s">
        <v>38</v>
      </c>
      <c r="M249" t="s">
        <v>366</v>
      </c>
    </row>
    <row r="250" spans="1:13" x14ac:dyDescent="0.3">
      <c r="A250" t="s">
        <v>620</v>
      </c>
      <c r="B250" t="s">
        <v>456</v>
      </c>
      <c r="C250" t="s">
        <v>121</v>
      </c>
      <c r="D250" t="s">
        <v>19</v>
      </c>
      <c r="E250" t="s">
        <v>9</v>
      </c>
      <c r="F250" t="s">
        <v>27</v>
      </c>
      <c r="G250">
        <v>2</v>
      </c>
      <c r="H250">
        <v>176.53</v>
      </c>
      <c r="I250">
        <v>0</v>
      </c>
      <c r="J250" t="s">
        <v>32</v>
      </c>
      <c r="K250" t="s">
        <v>87</v>
      </c>
      <c r="L250" t="s">
        <v>37</v>
      </c>
      <c r="M250" t="s">
        <v>320</v>
      </c>
    </row>
    <row r="251" spans="1:13" x14ac:dyDescent="0.3">
      <c r="A251" t="s">
        <v>621</v>
      </c>
      <c r="B251" t="s">
        <v>622</v>
      </c>
      <c r="C251" t="s">
        <v>76</v>
      </c>
      <c r="D251" t="s">
        <v>21</v>
      </c>
      <c r="E251" t="s">
        <v>10</v>
      </c>
      <c r="F251" t="s">
        <v>25</v>
      </c>
      <c r="G251">
        <v>1</v>
      </c>
      <c r="H251">
        <v>383.59</v>
      </c>
      <c r="I251">
        <v>5</v>
      </c>
      <c r="J251" t="s">
        <v>32</v>
      </c>
      <c r="K251" t="s">
        <v>92</v>
      </c>
      <c r="L251" t="s">
        <v>37</v>
      </c>
      <c r="M251" t="s">
        <v>366</v>
      </c>
    </row>
    <row r="252" spans="1:13" x14ac:dyDescent="0.3">
      <c r="A252" t="s">
        <v>623</v>
      </c>
      <c r="B252" t="s">
        <v>624</v>
      </c>
      <c r="C252" t="s">
        <v>91</v>
      </c>
      <c r="D252" t="s">
        <v>20</v>
      </c>
      <c r="E252" t="s">
        <v>9</v>
      </c>
      <c r="F252" t="s">
        <v>27</v>
      </c>
      <c r="G252">
        <v>5</v>
      </c>
      <c r="H252">
        <v>202.92</v>
      </c>
      <c r="I252">
        <v>15</v>
      </c>
      <c r="J252" t="s">
        <v>30</v>
      </c>
      <c r="K252" t="s">
        <v>87</v>
      </c>
      <c r="L252" t="s">
        <v>37</v>
      </c>
      <c r="M252" t="s">
        <v>625</v>
      </c>
    </row>
    <row r="253" spans="1:13" x14ac:dyDescent="0.3">
      <c r="A253" t="s">
        <v>626</v>
      </c>
      <c r="B253" t="s">
        <v>544</v>
      </c>
      <c r="C253" t="s">
        <v>91</v>
      </c>
      <c r="D253" t="s">
        <v>17</v>
      </c>
      <c r="E253" t="s">
        <v>7</v>
      </c>
      <c r="F253" t="s">
        <v>27</v>
      </c>
      <c r="G253">
        <v>2</v>
      </c>
      <c r="H253">
        <v>446.14</v>
      </c>
      <c r="I253">
        <v>15</v>
      </c>
      <c r="J253" t="s">
        <v>31</v>
      </c>
      <c r="K253" t="s">
        <v>77</v>
      </c>
      <c r="L253" t="s">
        <v>39</v>
      </c>
      <c r="M253" t="s">
        <v>361</v>
      </c>
    </row>
    <row r="254" spans="1:13" x14ac:dyDescent="0.3">
      <c r="A254" t="s">
        <v>627</v>
      </c>
      <c r="B254" t="s">
        <v>326</v>
      </c>
      <c r="C254" t="s">
        <v>81</v>
      </c>
      <c r="D254" t="s">
        <v>19</v>
      </c>
      <c r="E254" t="s">
        <v>12</v>
      </c>
      <c r="F254" t="s">
        <v>25</v>
      </c>
      <c r="G254">
        <v>1</v>
      </c>
      <c r="H254">
        <v>122.3</v>
      </c>
      <c r="I254">
        <v>15</v>
      </c>
      <c r="J254" t="s">
        <v>32</v>
      </c>
      <c r="K254" t="s">
        <v>92</v>
      </c>
      <c r="L254" t="s">
        <v>38</v>
      </c>
      <c r="M254" t="s">
        <v>163</v>
      </c>
    </row>
    <row r="255" spans="1:13" x14ac:dyDescent="0.3">
      <c r="A255" t="s">
        <v>628</v>
      </c>
      <c r="B255" t="s">
        <v>133</v>
      </c>
      <c r="C255" t="s">
        <v>99</v>
      </c>
      <c r="D255" t="s">
        <v>20</v>
      </c>
      <c r="E255" t="s">
        <v>7</v>
      </c>
      <c r="F255" t="s">
        <v>27</v>
      </c>
      <c r="G255">
        <v>3</v>
      </c>
      <c r="H255">
        <v>481.76</v>
      </c>
      <c r="I255">
        <v>0</v>
      </c>
      <c r="J255" t="s">
        <v>30</v>
      </c>
      <c r="K255" t="s">
        <v>92</v>
      </c>
      <c r="L255" t="s">
        <v>37</v>
      </c>
      <c r="M255" t="s">
        <v>88</v>
      </c>
    </row>
    <row r="256" spans="1:13" x14ac:dyDescent="0.3">
      <c r="A256" t="s">
        <v>629</v>
      </c>
      <c r="B256" t="s">
        <v>443</v>
      </c>
      <c r="C256" t="s">
        <v>103</v>
      </c>
      <c r="D256" t="s">
        <v>17</v>
      </c>
      <c r="E256" t="s">
        <v>12</v>
      </c>
      <c r="F256" t="s">
        <v>25</v>
      </c>
      <c r="G256">
        <v>1</v>
      </c>
      <c r="H256">
        <v>134.43</v>
      </c>
      <c r="I256">
        <v>15</v>
      </c>
      <c r="J256" t="s">
        <v>31</v>
      </c>
      <c r="K256" t="s">
        <v>92</v>
      </c>
      <c r="L256" t="s">
        <v>39</v>
      </c>
      <c r="M256" t="s">
        <v>163</v>
      </c>
    </row>
    <row r="257" spans="1:13" x14ac:dyDescent="0.3">
      <c r="A257" t="s">
        <v>630</v>
      </c>
      <c r="B257" t="s">
        <v>631</v>
      </c>
      <c r="C257" t="s">
        <v>114</v>
      </c>
      <c r="D257" t="s">
        <v>19</v>
      </c>
      <c r="E257" t="s">
        <v>5</v>
      </c>
      <c r="F257" t="s">
        <v>25</v>
      </c>
      <c r="G257">
        <v>2</v>
      </c>
      <c r="H257">
        <v>959.52</v>
      </c>
      <c r="I257">
        <v>15</v>
      </c>
      <c r="J257" t="s">
        <v>32</v>
      </c>
      <c r="K257" t="s">
        <v>82</v>
      </c>
      <c r="L257" t="s">
        <v>37</v>
      </c>
      <c r="M257" t="s">
        <v>503</v>
      </c>
    </row>
    <row r="258" spans="1:13" x14ac:dyDescent="0.3">
      <c r="A258" t="s">
        <v>632</v>
      </c>
      <c r="B258" t="s">
        <v>299</v>
      </c>
      <c r="C258" t="s">
        <v>114</v>
      </c>
      <c r="D258" t="s">
        <v>16</v>
      </c>
      <c r="E258" t="s">
        <v>12</v>
      </c>
      <c r="F258" t="s">
        <v>25</v>
      </c>
      <c r="G258">
        <v>1</v>
      </c>
      <c r="H258">
        <v>111.69</v>
      </c>
      <c r="I258">
        <v>20</v>
      </c>
      <c r="J258" t="s">
        <v>31</v>
      </c>
      <c r="K258" t="s">
        <v>82</v>
      </c>
      <c r="L258" t="s">
        <v>37</v>
      </c>
      <c r="M258" t="s">
        <v>300</v>
      </c>
    </row>
    <row r="259" spans="1:13" x14ac:dyDescent="0.3">
      <c r="A259" t="s">
        <v>633</v>
      </c>
      <c r="B259" t="s">
        <v>456</v>
      </c>
      <c r="C259" t="s">
        <v>91</v>
      </c>
      <c r="D259" t="s">
        <v>21</v>
      </c>
      <c r="E259" t="s">
        <v>12</v>
      </c>
      <c r="F259" t="s">
        <v>25</v>
      </c>
      <c r="G259">
        <v>1</v>
      </c>
      <c r="H259">
        <v>126.03</v>
      </c>
      <c r="I259">
        <v>10</v>
      </c>
      <c r="J259" t="s">
        <v>31</v>
      </c>
      <c r="K259" t="s">
        <v>77</v>
      </c>
      <c r="L259" t="s">
        <v>37</v>
      </c>
      <c r="M259" t="s">
        <v>122</v>
      </c>
    </row>
    <row r="260" spans="1:13" x14ac:dyDescent="0.3">
      <c r="A260" t="s">
        <v>634</v>
      </c>
      <c r="B260" t="s">
        <v>293</v>
      </c>
      <c r="C260" t="s">
        <v>114</v>
      </c>
      <c r="D260" t="s">
        <v>20</v>
      </c>
      <c r="E260" t="s">
        <v>10</v>
      </c>
      <c r="F260" t="s">
        <v>25</v>
      </c>
      <c r="G260">
        <v>3</v>
      </c>
      <c r="H260">
        <v>384.46</v>
      </c>
      <c r="I260">
        <v>0</v>
      </c>
      <c r="J260" t="s">
        <v>32</v>
      </c>
      <c r="K260" t="s">
        <v>92</v>
      </c>
      <c r="L260" t="s">
        <v>39</v>
      </c>
      <c r="M260" t="s">
        <v>635</v>
      </c>
    </row>
    <row r="261" spans="1:13" x14ac:dyDescent="0.3">
      <c r="A261" t="s">
        <v>636</v>
      </c>
      <c r="B261" t="s">
        <v>637</v>
      </c>
      <c r="C261" t="s">
        <v>121</v>
      </c>
      <c r="D261" t="s">
        <v>17</v>
      </c>
      <c r="E261" t="s">
        <v>7</v>
      </c>
      <c r="F261" t="s">
        <v>27</v>
      </c>
      <c r="G261">
        <v>4</v>
      </c>
      <c r="H261">
        <v>391.86</v>
      </c>
      <c r="I261">
        <v>0</v>
      </c>
      <c r="J261" t="s">
        <v>32</v>
      </c>
      <c r="K261" t="s">
        <v>92</v>
      </c>
      <c r="L261" t="s">
        <v>37</v>
      </c>
      <c r="M261" t="s">
        <v>22</v>
      </c>
    </row>
    <row r="262" spans="1:13" x14ac:dyDescent="0.3">
      <c r="A262" t="s">
        <v>638</v>
      </c>
      <c r="B262" t="s">
        <v>177</v>
      </c>
      <c r="C262" t="s">
        <v>114</v>
      </c>
      <c r="D262" t="s">
        <v>19</v>
      </c>
      <c r="E262" t="s">
        <v>5</v>
      </c>
      <c r="F262" t="s">
        <v>25</v>
      </c>
      <c r="G262">
        <v>1</v>
      </c>
      <c r="H262">
        <v>917.27</v>
      </c>
      <c r="I262">
        <v>0</v>
      </c>
      <c r="J262" t="s">
        <v>32</v>
      </c>
      <c r="K262" t="s">
        <v>77</v>
      </c>
      <c r="L262" t="s">
        <v>37</v>
      </c>
      <c r="M262" t="s">
        <v>108</v>
      </c>
    </row>
    <row r="263" spans="1:13" x14ac:dyDescent="0.3">
      <c r="A263" t="s">
        <v>639</v>
      </c>
      <c r="B263" t="s">
        <v>296</v>
      </c>
      <c r="C263" t="s">
        <v>76</v>
      </c>
      <c r="D263" t="s">
        <v>16</v>
      </c>
      <c r="E263" t="s">
        <v>12</v>
      </c>
      <c r="F263" t="s">
        <v>25</v>
      </c>
      <c r="G263">
        <v>2</v>
      </c>
      <c r="H263">
        <v>124.13</v>
      </c>
      <c r="I263">
        <v>0</v>
      </c>
      <c r="J263" t="s">
        <v>31</v>
      </c>
      <c r="K263" t="s">
        <v>82</v>
      </c>
      <c r="L263" t="s">
        <v>37</v>
      </c>
      <c r="M263" t="s">
        <v>598</v>
      </c>
    </row>
    <row r="264" spans="1:13" x14ac:dyDescent="0.3">
      <c r="A264" t="s">
        <v>640</v>
      </c>
      <c r="B264" t="s">
        <v>641</v>
      </c>
      <c r="C264" t="s">
        <v>114</v>
      </c>
      <c r="D264" t="s">
        <v>17</v>
      </c>
      <c r="E264" t="s">
        <v>6</v>
      </c>
      <c r="F264" t="s">
        <v>26</v>
      </c>
      <c r="G264">
        <v>2</v>
      </c>
      <c r="H264">
        <v>850.83</v>
      </c>
      <c r="I264">
        <v>20</v>
      </c>
      <c r="J264" t="s">
        <v>31</v>
      </c>
      <c r="K264" t="s">
        <v>92</v>
      </c>
      <c r="L264" t="s">
        <v>37</v>
      </c>
      <c r="M264" t="s">
        <v>483</v>
      </c>
    </row>
    <row r="265" spans="1:13" x14ac:dyDescent="0.3">
      <c r="A265" t="s">
        <v>642</v>
      </c>
      <c r="B265" t="s">
        <v>313</v>
      </c>
      <c r="C265" t="s">
        <v>103</v>
      </c>
      <c r="D265" t="s">
        <v>572</v>
      </c>
      <c r="E265" t="s">
        <v>12</v>
      </c>
      <c r="F265" t="s">
        <v>25</v>
      </c>
      <c r="G265">
        <v>4</v>
      </c>
      <c r="H265">
        <v>111.48</v>
      </c>
      <c r="I265">
        <v>0</v>
      </c>
      <c r="J265" t="s">
        <v>31</v>
      </c>
      <c r="K265" t="s">
        <v>92</v>
      </c>
      <c r="L265" t="s">
        <v>37</v>
      </c>
      <c r="M265" t="s">
        <v>643</v>
      </c>
    </row>
    <row r="266" spans="1:13" x14ac:dyDescent="0.3">
      <c r="A266" t="s">
        <v>644</v>
      </c>
      <c r="B266" t="s">
        <v>645</v>
      </c>
      <c r="C266" t="s">
        <v>86</v>
      </c>
      <c r="D266" t="s">
        <v>21</v>
      </c>
      <c r="E266" t="s">
        <v>11</v>
      </c>
      <c r="F266" t="s">
        <v>26</v>
      </c>
      <c r="G266">
        <v>4</v>
      </c>
      <c r="H266">
        <v>154.61000000000001</v>
      </c>
      <c r="I266">
        <v>15</v>
      </c>
      <c r="J266" t="s">
        <v>30</v>
      </c>
      <c r="K266" t="s">
        <v>92</v>
      </c>
      <c r="L266" t="s">
        <v>37</v>
      </c>
      <c r="M266" t="s">
        <v>458</v>
      </c>
    </row>
    <row r="267" spans="1:13" x14ac:dyDescent="0.3">
      <c r="A267" t="s">
        <v>646</v>
      </c>
      <c r="B267" t="s">
        <v>647</v>
      </c>
      <c r="C267" t="s">
        <v>127</v>
      </c>
      <c r="D267" t="s">
        <v>17</v>
      </c>
      <c r="E267" t="s">
        <v>7</v>
      </c>
      <c r="F267" t="s">
        <v>27</v>
      </c>
      <c r="G267">
        <v>3</v>
      </c>
      <c r="H267">
        <v>406.56</v>
      </c>
      <c r="I267">
        <v>0</v>
      </c>
      <c r="J267" t="s">
        <v>32</v>
      </c>
      <c r="K267" t="s">
        <v>77</v>
      </c>
      <c r="L267" t="s">
        <v>37</v>
      </c>
      <c r="M267" t="s">
        <v>128</v>
      </c>
    </row>
    <row r="268" spans="1:13" x14ac:dyDescent="0.3">
      <c r="A268" t="s">
        <v>648</v>
      </c>
      <c r="B268" t="s">
        <v>649</v>
      </c>
      <c r="C268" t="s">
        <v>86</v>
      </c>
      <c r="D268" t="s">
        <v>18</v>
      </c>
      <c r="E268" t="s">
        <v>10</v>
      </c>
      <c r="F268" t="s">
        <v>25</v>
      </c>
      <c r="G268">
        <v>3</v>
      </c>
      <c r="H268">
        <v>316.08</v>
      </c>
      <c r="I268">
        <v>0</v>
      </c>
      <c r="J268" t="s">
        <v>31</v>
      </c>
      <c r="K268" t="s">
        <v>92</v>
      </c>
      <c r="L268" t="s">
        <v>39</v>
      </c>
      <c r="M268" t="s">
        <v>650</v>
      </c>
    </row>
    <row r="269" spans="1:13" x14ac:dyDescent="0.3">
      <c r="A269" t="s">
        <v>651</v>
      </c>
      <c r="B269" t="s">
        <v>450</v>
      </c>
      <c r="C269" t="s">
        <v>76</v>
      </c>
      <c r="D269" t="s">
        <v>19</v>
      </c>
      <c r="E269" t="s">
        <v>9</v>
      </c>
      <c r="F269" t="s">
        <v>27</v>
      </c>
      <c r="G269">
        <v>1</v>
      </c>
      <c r="H269">
        <v>180.73</v>
      </c>
      <c r="I269">
        <v>0</v>
      </c>
      <c r="J269" t="s">
        <v>33</v>
      </c>
      <c r="K269" t="s">
        <v>92</v>
      </c>
      <c r="L269" t="s">
        <v>37</v>
      </c>
      <c r="M269" t="s">
        <v>568</v>
      </c>
    </row>
    <row r="270" spans="1:13" x14ac:dyDescent="0.3">
      <c r="A270" t="s">
        <v>652</v>
      </c>
      <c r="B270" t="s">
        <v>370</v>
      </c>
      <c r="C270" t="s">
        <v>99</v>
      </c>
      <c r="D270" t="s">
        <v>16</v>
      </c>
      <c r="E270" t="s">
        <v>9</v>
      </c>
      <c r="F270" t="s">
        <v>27</v>
      </c>
      <c r="G270">
        <v>3</v>
      </c>
      <c r="H270">
        <v>206.16</v>
      </c>
      <c r="I270">
        <v>20</v>
      </c>
      <c r="J270" t="s">
        <v>30</v>
      </c>
      <c r="K270" t="s">
        <v>87</v>
      </c>
      <c r="L270" t="s">
        <v>37</v>
      </c>
      <c r="M270" t="s">
        <v>503</v>
      </c>
    </row>
    <row r="271" spans="1:13" x14ac:dyDescent="0.3">
      <c r="A271" t="s">
        <v>653</v>
      </c>
      <c r="B271" t="s">
        <v>584</v>
      </c>
      <c r="C271" t="s">
        <v>91</v>
      </c>
      <c r="D271" t="s">
        <v>17</v>
      </c>
      <c r="E271" t="s">
        <v>13</v>
      </c>
      <c r="F271" t="s">
        <v>28</v>
      </c>
      <c r="G271">
        <v>1</v>
      </c>
      <c r="H271">
        <v>89.3</v>
      </c>
      <c r="I271">
        <v>10</v>
      </c>
      <c r="J271" t="s">
        <v>31</v>
      </c>
      <c r="K271" t="s">
        <v>77</v>
      </c>
      <c r="L271" t="s">
        <v>38</v>
      </c>
      <c r="M271" t="s">
        <v>100</v>
      </c>
    </row>
    <row r="272" spans="1:13" x14ac:dyDescent="0.3">
      <c r="A272" t="s">
        <v>654</v>
      </c>
      <c r="B272" t="s">
        <v>194</v>
      </c>
      <c r="C272" t="s">
        <v>81</v>
      </c>
      <c r="D272" t="s">
        <v>21</v>
      </c>
      <c r="E272" t="s">
        <v>5</v>
      </c>
      <c r="F272" t="s">
        <v>25</v>
      </c>
      <c r="G272">
        <v>5</v>
      </c>
      <c r="H272">
        <v>1091.97</v>
      </c>
      <c r="I272">
        <v>0</v>
      </c>
      <c r="J272" t="s">
        <v>32</v>
      </c>
      <c r="K272" t="s">
        <v>92</v>
      </c>
      <c r="L272" t="s">
        <v>38</v>
      </c>
      <c r="M272" t="s">
        <v>304</v>
      </c>
    </row>
    <row r="273" spans="1:13" x14ac:dyDescent="0.3">
      <c r="A273" t="s">
        <v>655</v>
      </c>
      <c r="B273" t="s">
        <v>566</v>
      </c>
      <c r="C273" t="s">
        <v>107</v>
      </c>
      <c r="D273" t="s">
        <v>17</v>
      </c>
      <c r="E273" t="s">
        <v>13</v>
      </c>
      <c r="F273" t="s">
        <v>28</v>
      </c>
      <c r="G273">
        <v>1</v>
      </c>
      <c r="H273">
        <v>99.89</v>
      </c>
      <c r="I273">
        <v>5</v>
      </c>
      <c r="J273" t="s">
        <v>30</v>
      </c>
      <c r="K273" t="s">
        <v>92</v>
      </c>
      <c r="L273" t="s">
        <v>37</v>
      </c>
      <c r="M273" t="s">
        <v>486</v>
      </c>
    </row>
    <row r="274" spans="1:13" x14ac:dyDescent="0.3">
      <c r="A274" t="s">
        <v>656</v>
      </c>
      <c r="B274" t="s">
        <v>558</v>
      </c>
      <c r="C274" t="s">
        <v>91</v>
      </c>
      <c r="D274" t="s">
        <v>20</v>
      </c>
      <c r="E274" t="s">
        <v>13</v>
      </c>
      <c r="F274" t="s">
        <v>28</v>
      </c>
      <c r="G274">
        <v>5</v>
      </c>
      <c r="H274">
        <v>90.45</v>
      </c>
      <c r="I274">
        <v>0</v>
      </c>
      <c r="J274" t="s">
        <v>31</v>
      </c>
      <c r="K274" t="s">
        <v>77</v>
      </c>
      <c r="L274" t="s">
        <v>37</v>
      </c>
      <c r="M274" t="s">
        <v>332</v>
      </c>
    </row>
    <row r="275" spans="1:13" x14ac:dyDescent="0.3">
      <c r="A275" t="s">
        <v>657</v>
      </c>
      <c r="B275" t="s">
        <v>658</v>
      </c>
      <c r="C275" t="s">
        <v>103</v>
      </c>
      <c r="D275" t="s">
        <v>17</v>
      </c>
      <c r="E275" t="s">
        <v>11</v>
      </c>
      <c r="F275" t="s">
        <v>26</v>
      </c>
      <c r="G275">
        <v>5</v>
      </c>
      <c r="H275">
        <v>138.18</v>
      </c>
      <c r="I275">
        <v>20</v>
      </c>
      <c r="J275" t="s">
        <v>32</v>
      </c>
      <c r="K275" t="s">
        <v>92</v>
      </c>
      <c r="L275" t="s">
        <v>38</v>
      </c>
      <c r="M275" t="s">
        <v>341</v>
      </c>
    </row>
    <row r="276" spans="1:13" x14ac:dyDescent="0.3">
      <c r="A276" t="s">
        <v>659</v>
      </c>
      <c r="B276" t="s">
        <v>584</v>
      </c>
      <c r="C276" t="s">
        <v>86</v>
      </c>
      <c r="D276" t="s">
        <v>18</v>
      </c>
      <c r="E276" t="s">
        <v>6</v>
      </c>
      <c r="F276" t="s">
        <v>26</v>
      </c>
      <c r="G276">
        <v>2</v>
      </c>
      <c r="H276">
        <v>727.49</v>
      </c>
      <c r="I276">
        <v>15</v>
      </c>
      <c r="J276" t="s">
        <v>30</v>
      </c>
      <c r="K276" t="s">
        <v>87</v>
      </c>
      <c r="L276" t="s">
        <v>37</v>
      </c>
      <c r="M276" t="s">
        <v>408</v>
      </c>
    </row>
    <row r="277" spans="1:13" x14ac:dyDescent="0.3">
      <c r="A277" t="s">
        <v>660</v>
      </c>
      <c r="B277" t="s">
        <v>525</v>
      </c>
      <c r="C277" t="s">
        <v>76</v>
      </c>
      <c r="D277" t="s">
        <v>21</v>
      </c>
      <c r="E277" t="s">
        <v>14</v>
      </c>
      <c r="F277" t="s">
        <v>28</v>
      </c>
      <c r="G277">
        <v>1</v>
      </c>
      <c r="H277">
        <v>62.47</v>
      </c>
      <c r="I277">
        <v>0</v>
      </c>
      <c r="J277" t="s">
        <v>31</v>
      </c>
      <c r="K277" t="s">
        <v>77</v>
      </c>
      <c r="L277" t="s">
        <v>38</v>
      </c>
      <c r="M277" t="s">
        <v>549</v>
      </c>
    </row>
    <row r="278" spans="1:13" x14ac:dyDescent="0.3">
      <c r="A278" t="s">
        <v>661</v>
      </c>
      <c r="B278" t="s">
        <v>662</v>
      </c>
      <c r="C278" t="s">
        <v>91</v>
      </c>
      <c r="D278" t="s">
        <v>18</v>
      </c>
      <c r="E278" t="s">
        <v>7</v>
      </c>
      <c r="F278" t="s">
        <v>27</v>
      </c>
      <c r="G278">
        <v>1</v>
      </c>
      <c r="H278">
        <v>434.27</v>
      </c>
      <c r="I278">
        <v>0</v>
      </c>
      <c r="J278" t="s">
        <v>33</v>
      </c>
      <c r="K278" t="s">
        <v>92</v>
      </c>
      <c r="L278" t="s">
        <v>39</v>
      </c>
      <c r="M278" t="s">
        <v>214</v>
      </c>
    </row>
    <row r="279" spans="1:13" x14ac:dyDescent="0.3">
      <c r="A279" t="s">
        <v>663</v>
      </c>
      <c r="B279" t="s">
        <v>177</v>
      </c>
      <c r="C279" t="s">
        <v>86</v>
      </c>
      <c r="D279" t="s">
        <v>21</v>
      </c>
      <c r="E279" t="s">
        <v>14</v>
      </c>
      <c r="F279" t="s">
        <v>28</v>
      </c>
      <c r="G279">
        <v>3</v>
      </c>
      <c r="H279">
        <v>59.08</v>
      </c>
      <c r="I279">
        <v>0</v>
      </c>
      <c r="J279" t="s">
        <v>31</v>
      </c>
      <c r="K279" t="s">
        <v>87</v>
      </c>
      <c r="L279" t="s">
        <v>37</v>
      </c>
      <c r="M279" t="s">
        <v>522</v>
      </c>
    </row>
    <row r="280" spans="1:13" x14ac:dyDescent="0.3">
      <c r="A280" t="s">
        <v>664</v>
      </c>
      <c r="B280" t="s">
        <v>426</v>
      </c>
      <c r="C280" t="s">
        <v>114</v>
      </c>
      <c r="D280" t="s">
        <v>18</v>
      </c>
      <c r="E280" t="s">
        <v>13</v>
      </c>
      <c r="F280" t="s">
        <v>28</v>
      </c>
      <c r="G280">
        <v>1</v>
      </c>
      <c r="H280">
        <v>87.72</v>
      </c>
      <c r="I280">
        <v>10</v>
      </c>
      <c r="J280" t="s">
        <v>31</v>
      </c>
      <c r="K280" t="s">
        <v>92</v>
      </c>
      <c r="L280" t="s">
        <v>37</v>
      </c>
      <c r="M280" t="s">
        <v>104</v>
      </c>
    </row>
    <row r="281" spans="1:13" x14ac:dyDescent="0.3">
      <c r="A281" t="s">
        <v>665</v>
      </c>
      <c r="B281" t="s">
        <v>666</v>
      </c>
      <c r="C281" t="s">
        <v>81</v>
      </c>
      <c r="D281" t="s">
        <v>21</v>
      </c>
      <c r="E281" t="s">
        <v>12</v>
      </c>
      <c r="F281" t="s">
        <v>25</v>
      </c>
      <c r="G281">
        <v>3</v>
      </c>
      <c r="H281">
        <v>112.19</v>
      </c>
      <c r="I281">
        <v>0</v>
      </c>
      <c r="J281" t="s">
        <v>32</v>
      </c>
      <c r="K281" t="s">
        <v>87</v>
      </c>
      <c r="L281" t="s">
        <v>37</v>
      </c>
      <c r="M281" t="s">
        <v>625</v>
      </c>
    </row>
    <row r="282" spans="1:13" x14ac:dyDescent="0.3">
      <c r="A282" t="s">
        <v>667</v>
      </c>
      <c r="B282" t="s">
        <v>668</v>
      </c>
      <c r="C282" t="s">
        <v>76</v>
      </c>
      <c r="D282" t="s">
        <v>21</v>
      </c>
      <c r="E282" t="s">
        <v>5</v>
      </c>
      <c r="F282" t="s">
        <v>25</v>
      </c>
      <c r="G282">
        <v>2</v>
      </c>
      <c r="H282">
        <v>1072.8900000000001</v>
      </c>
      <c r="I282">
        <v>15</v>
      </c>
      <c r="J282" t="s">
        <v>32</v>
      </c>
      <c r="K282" t="s">
        <v>82</v>
      </c>
      <c r="L282" t="s">
        <v>37</v>
      </c>
      <c r="M282" t="s">
        <v>361</v>
      </c>
    </row>
    <row r="283" spans="1:13" x14ac:dyDescent="0.3">
      <c r="A283" t="s">
        <v>669</v>
      </c>
      <c r="B283" t="s">
        <v>670</v>
      </c>
      <c r="C283" t="s">
        <v>127</v>
      </c>
      <c r="D283" t="s">
        <v>18</v>
      </c>
      <c r="E283" t="s">
        <v>7</v>
      </c>
      <c r="F283" t="s">
        <v>27</v>
      </c>
      <c r="G283">
        <v>1</v>
      </c>
      <c r="H283">
        <v>476.94</v>
      </c>
      <c r="I283">
        <v>20</v>
      </c>
      <c r="J283" t="s">
        <v>32</v>
      </c>
      <c r="K283" t="s">
        <v>77</v>
      </c>
      <c r="L283" t="s">
        <v>37</v>
      </c>
      <c r="M283" t="s">
        <v>458</v>
      </c>
    </row>
    <row r="284" spans="1:13" x14ac:dyDescent="0.3">
      <c r="A284" t="s">
        <v>671</v>
      </c>
      <c r="B284" t="s">
        <v>631</v>
      </c>
      <c r="C284" t="s">
        <v>91</v>
      </c>
      <c r="D284" t="s">
        <v>16</v>
      </c>
      <c r="E284" t="s">
        <v>6</v>
      </c>
      <c r="F284" t="s">
        <v>26</v>
      </c>
      <c r="G284">
        <v>2</v>
      </c>
      <c r="H284">
        <v>735.7</v>
      </c>
      <c r="I284">
        <v>5</v>
      </c>
      <c r="J284" t="s">
        <v>31</v>
      </c>
      <c r="K284" t="s">
        <v>92</v>
      </c>
      <c r="L284" t="s">
        <v>37</v>
      </c>
      <c r="M284" t="s">
        <v>483</v>
      </c>
    </row>
    <row r="285" spans="1:13" x14ac:dyDescent="0.3">
      <c r="A285" t="s">
        <v>672</v>
      </c>
      <c r="B285" t="s">
        <v>482</v>
      </c>
      <c r="C285" t="s">
        <v>76</v>
      </c>
      <c r="D285" t="s">
        <v>16</v>
      </c>
      <c r="E285" t="s">
        <v>14</v>
      </c>
      <c r="F285" t="s">
        <v>28</v>
      </c>
      <c r="G285">
        <v>2</v>
      </c>
      <c r="H285">
        <v>61.64</v>
      </c>
      <c r="I285">
        <v>5</v>
      </c>
      <c r="J285" t="s">
        <v>31</v>
      </c>
      <c r="K285" t="s">
        <v>77</v>
      </c>
      <c r="L285" t="s">
        <v>37</v>
      </c>
      <c r="M285" t="s">
        <v>498</v>
      </c>
    </row>
    <row r="286" spans="1:13" x14ac:dyDescent="0.3">
      <c r="A286" t="s">
        <v>673</v>
      </c>
      <c r="B286" t="s">
        <v>383</v>
      </c>
      <c r="C286" t="s">
        <v>86</v>
      </c>
      <c r="D286" t="s">
        <v>18</v>
      </c>
      <c r="E286" t="s">
        <v>13</v>
      </c>
      <c r="F286" t="s">
        <v>28</v>
      </c>
      <c r="G286">
        <v>1</v>
      </c>
      <c r="H286">
        <v>103.37</v>
      </c>
      <c r="I286">
        <v>10</v>
      </c>
      <c r="J286" t="s">
        <v>32</v>
      </c>
      <c r="K286" t="s">
        <v>87</v>
      </c>
      <c r="L286" t="s">
        <v>39</v>
      </c>
      <c r="M286" t="s">
        <v>352</v>
      </c>
    </row>
    <row r="287" spans="1:13" x14ac:dyDescent="0.3">
      <c r="A287" t="s">
        <v>674</v>
      </c>
      <c r="B287" t="s">
        <v>450</v>
      </c>
      <c r="C287" t="s">
        <v>81</v>
      </c>
      <c r="D287" t="s">
        <v>20</v>
      </c>
      <c r="E287" t="s">
        <v>7</v>
      </c>
      <c r="F287" t="s">
        <v>27</v>
      </c>
      <c r="G287">
        <v>1</v>
      </c>
      <c r="H287">
        <v>396.88</v>
      </c>
      <c r="I287">
        <v>20</v>
      </c>
      <c r="J287" t="s">
        <v>30</v>
      </c>
      <c r="K287" t="s">
        <v>92</v>
      </c>
      <c r="L287" t="s">
        <v>38</v>
      </c>
      <c r="M287" t="s">
        <v>286</v>
      </c>
    </row>
    <row r="288" spans="1:13" x14ac:dyDescent="0.3">
      <c r="A288" t="s">
        <v>675</v>
      </c>
      <c r="B288" t="s">
        <v>276</v>
      </c>
      <c r="C288" t="s">
        <v>76</v>
      </c>
      <c r="D288" t="s">
        <v>21</v>
      </c>
      <c r="E288" t="s">
        <v>13</v>
      </c>
      <c r="F288" t="s">
        <v>28</v>
      </c>
      <c r="G288">
        <v>1</v>
      </c>
      <c r="H288">
        <v>94.14</v>
      </c>
      <c r="I288">
        <v>15</v>
      </c>
      <c r="J288" t="s">
        <v>31</v>
      </c>
      <c r="K288" t="s">
        <v>87</v>
      </c>
      <c r="L288" t="s">
        <v>37</v>
      </c>
      <c r="M288" t="s">
        <v>22</v>
      </c>
    </row>
    <row r="289" spans="1:13" x14ac:dyDescent="0.3">
      <c r="A289" t="s">
        <v>676</v>
      </c>
      <c r="B289" t="s">
        <v>445</v>
      </c>
      <c r="C289" t="s">
        <v>103</v>
      </c>
      <c r="D289" t="s">
        <v>21</v>
      </c>
      <c r="E289" t="s">
        <v>9</v>
      </c>
      <c r="F289" t="s">
        <v>27</v>
      </c>
      <c r="G289">
        <v>2</v>
      </c>
      <c r="H289">
        <v>206.22</v>
      </c>
      <c r="I289">
        <v>0</v>
      </c>
      <c r="J289" t="s">
        <v>30</v>
      </c>
      <c r="K289" t="s">
        <v>87</v>
      </c>
      <c r="L289" t="s">
        <v>37</v>
      </c>
      <c r="M289" t="s">
        <v>458</v>
      </c>
    </row>
    <row r="290" spans="1:13" x14ac:dyDescent="0.3">
      <c r="A290" t="s">
        <v>677</v>
      </c>
      <c r="B290" t="s">
        <v>678</v>
      </c>
      <c r="C290" t="s">
        <v>121</v>
      </c>
      <c r="D290" t="s">
        <v>16</v>
      </c>
      <c r="E290" t="s">
        <v>7</v>
      </c>
      <c r="F290" t="s">
        <v>27</v>
      </c>
      <c r="G290">
        <v>4</v>
      </c>
      <c r="H290">
        <v>437.18</v>
      </c>
      <c r="I290">
        <v>0</v>
      </c>
      <c r="J290" t="s">
        <v>32</v>
      </c>
      <c r="K290" t="s">
        <v>92</v>
      </c>
      <c r="L290" t="s">
        <v>39</v>
      </c>
      <c r="M290" t="s">
        <v>361</v>
      </c>
    </row>
    <row r="291" spans="1:13" x14ac:dyDescent="0.3">
      <c r="A291" t="s">
        <v>679</v>
      </c>
      <c r="B291" t="s">
        <v>562</v>
      </c>
      <c r="C291" t="s">
        <v>107</v>
      </c>
      <c r="D291" s="15" t="s">
        <v>22</v>
      </c>
      <c r="E291" t="s">
        <v>10</v>
      </c>
      <c r="F291" t="s">
        <v>25</v>
      </c>
      <c r="G291">
        <v>1</v>
      </c>
      <c r="H291">
        <v>334.15</v>
      </c>
      <c r="I291">
        <v>10</v>
      </c>
      <c r="J291" t="s">
        <v>31</v>
      </c>
      <c r="K291" t="s">
        <v>82</v>
      </c>
      <c r="L291" t="s">
        <v>39</v>
      </c>
      <c r="M291" t="s">
        <v>594</v>
      </c>
    </row>
    <row r="292" spans="1:13" x14ac:dyDescent="0.3">
      <c r="A292" t="s">
        <v>680</v>
      </c>
      <c r="B292" t="s">
        <v>512</v>
      </c>
      <c r="C292" t="s">
        <v>107</v>
      </c>
      <c r="D292" t="s">
        <v>21</v>
      </c>
      <c r="E292" t="s">
        <v>8</v>
      </c>
      <c r="F292" t="s">
        <v>25</v>
      </c>
      <c r="G292">
        <v>4</v>
      </c>
      <c r="H292">
        <v>722.2</v>
      </c>
      <c r="I292">
        <v>10</v>
      </c>
      <c r="J292" t="s">
        <v>31</v>
      </c>
      <c r="K292" t="s">
        <v>92</v>
      </c>
      <c r="L292" t="s">
        <v>37</v>
      </c>
      <c r="M292" t="s">
        <v>329</v>
      </c>
    </row>
    <row r="293" spans="1:13" x14ac:dyDescent="0.3">
      <c r="A293" t="s">
        <v>681</v>
      </c>
      <c r="B293" t="s">
        <v>580</v>
      </c>
      <c r="C293" t="s">
        <v>76</v>
      </c>
      <c r="D293" t="s">
        <v>16</v>
      </c>
      <c r="E293" t="s">
        <v>12</v>
      </c>
      <c r="F293" t="s">
        <v>25</v>
      </c>
      <c r="G293">
        <v>1</v>
      </c>
      <c r="H293">
        <v>136.26</v>
      </c>
      <c r="I293">
        <v>0</v>
      </c>
      <c r="J293" t="s">
        <v>30</v>
      </c>
      <c r="K293" t="s">
        <v>82</v>
      </c>
      <c r="L293" t="s">
        <v>38</v>
      </c>
      <c r="M293" t="s">
        <v>214</v>
      </c>
    </row>
    <row r="294" spans="1:13" x14ac:dyDescent="0.3">
      <c r="A294" t="s">
        <v>682</v>
      </c>
      <c r="B294" t="s">
        <v>213</v>
      </c>
      <c r="C294" t="s">
        <v>121</v>
      </c>
      <c r="D294" t="s">
        <v>17</v>
      </c>
      <c r="E294" t="s">
        <v>6</v>
      </c>
      <c r="F294" t="s">
        <v>26</v>
      </c>
      <c r="G294">
        <v>3</v>
      </c>
      <c r="H294">
        <v>889.33</v>
      </c>
      <c r="I294">
        <v>10</v>
      </c>
      <c r="J294" t="s">
        <v>30</v>
      </c>
      <c r="K294" t="s">
        <v>82</v>
      </c>
      <c r="L294" t="s">
        <v>37</v>
      </c>
      <c r="M294" t="s">
        <v>448</v>
      </c>
    </row>
    <row r="295" spans="1:13" x14ac:dyDescent="0.3">
      <c r="A295" t="s">
        <v>683</v>
      </c>
      <c r="B295" t="s">
        <v>684</v>
      </c>
      <c r="C295" t="s">
        <v>107</v>
      </c>
      <c r="D295" t="s">
        <v>17</v>
      </c>
      <c r="E295" t="s">
        <v>6</v>
      </c>
      <c r="F295" t="s">
        <v>26</v>
      </c>
      <c r="G295">
        <v>1</v>
      </c>
      <c r="H295">
        <v>836.26</v>
      </c>
      <c r="I295">
        <v>10</v>
      </c>
      <c r="J295" t="s">
        <v>32</v>
      </c>
      <c r="K295" t="s">
        <v>92</v>
      </c>
      <c r="L295" t="s">
        <v>37</v>
      </c>
      <c r="M295" t="s">
        <v>453</v>
      </c>
    </row>
    <row r="296" spans="1:13" x14ac:dyDescent="0.3">
      <c r="A296" t="s">
        <v>685</v>
      </c>
      <c r="B296" t="s">
        <v>410</v>
      </c>
      <c r="C296" t="s">
        <v>76</v>
      </c>
      <c r="D296" t="s">
        <v>18</v>
      </c>
      <c r="E296" t="s">
        <v>5</v>
      </c>
      <c r="F296" t="s">
        <v>25</v>
      </c>
      <c r="G296">
        <v>1</v>
      </c>
      <c r="H296">
        <v>1047.0899999999999</v>
      </c>
      <c r="I296">
        <v>0</v>
      </c>
      <c r="J296" t="s">
        <v>30</v>
      </c>
      <c r="K296" t="s">
        <v>92</v>
      </c>
      <c r="L296" t="s">
        <v>38</v>
      </c>
      <c r="M296" t="s">
        <v>203</v>
      </c>
    </row>
    <row r="297" spans="1:13" x14ac:dyDescent="0.3">
      <c r="A297" t="s">
        <v>686</v>
      </c>
      <c r="B297" t="s">
        <v>687</v>
      </c>
      <c r="C297" t="s">
        <v>99</v>
      </c>
      <c r="D297" t="s">
        <v>20</v>
      </c>
      <c r="E297" t="s">
        <v>7</v>
      </c>
      <c r="F297" t="s">
        <v>27</v>
      </c>
      <c r="G297">
        <v>5</v>
      </c>
      <c r="H297">
        <v>395.63</v>
      </c>
      <c r="I297">
        <v>0</v>
      </c>
      <c r="J297" t="s">
        <v>31</v>
      </c>
      <c r="K297" t="s">
        <v>82</v>
      </c>
      <c r="L297" t="s">
        <v>37</v>
      </c>
      <c r="M297" t="s">
        <v>420</v>
      </c>
    </row>
    <row r="298" spans="1:13" x14ac:dyDescent="0.3">
      <c r="A298" t="s">
        <v>688</v>
      </c>
      <c r="B298" t="s">
        <v>199</v>
      </c>
      <c r="C298" t="s">
        <v>114</v>
      </c>
      <c r="D298" t="s">
        <v>18</v>
      </c>
      <c r="E298" t="s">
        <v>7</v>
      </c>
      <c r="F298" t="s">
        <v>27</v>
      </c>
      <c r="G298">
        <v>1</v>
      </c>
      <c r="H298">
        <v>389.34</v>
      </c>
      <c r="I298">
        <v>15</v>
      </c>
      <c r="J298" t="s">
        <v>32</v>
      </c>
      <c r="K298" t="s">
        <v>82</v>
      </c>
      <c r="L298" t="s">
        <v>37</v>
      </c>
      <c r="M298" t="s">
        <v>181</v>
      </c>
    </row>
    <row r="299" spans="1:13" x14ac:dyDescent="0.3">
      <c r="A299" t="s">
        <v>689</v>
      </c>
      <c r="B299" t="s">
        <v>237</v>
      </c>
      <c r="C299" t="s">
        <v>99</v>
      </c>
      <c r="D299" t="s">
        <v>19</v>
      </c>
      <c r="E299" t="s">
        <v>11</v>
      </c>
      <c r="F299" t="s">
        <v>26</v>
      </c>
      <c r="G299">
        <v>3</v>
      </c>
      <c r="H299">
        <v>148.16999999999999</v>
      </c>
      <c r="I299">
        <v>15</v>
      </c>
      <c r="J299" t="s">
        <v>31</v>
      </c>
      <c r="K299" t="s">
        <v>82</v>
      </c>
      <c r="L299" t="s">
        <v>37</v>
      </c>
      <c r="M299" t="s">
        <v>408</v>
      </c>
    </row>
    <row r="300" spans="1:13" x14ac:dyDescent="0.3">
      <c r="A300" t="s">
        <v>690</v>
      </c>
      <c r="B300" t="s">
        <v>691</v>
      </c>
      <c r="C300" t="s">
        <v>91</v>
      </c>
      <c r="D300" t="s">
        <v>20</v>
      </c>
      <c r="E300" t="s">
        <v>12</v>
      </c>
      <c r="F300" t="s">
        <v>25</v>
      </c>
      <c r="G300">
        <v>3</v>
      </c>
      <c r="H300">
        <v>109</v>
      </c>
      <c r="I300">
        <v>0</v>
      </c>
      <c r="J300" t="s">
        <v>30</v>
      </c>
      <c r="K300" t="s">
        <v>82</v>
      </c>
      <c r="L300" t="s">
        <v>37</v>
      </c>
      <c r="M300" t="s">
        <v>93</v>
      </c>
    </row>
    <row r="301" spans="1:13" x14ac:dyDescent="0.3">
      <c r="A301" t="s">
        <v>692</v>
      </c>
      <c r="B301" t="s">
        <v>618</v>
      </c>
      <c r="C301" t="s">
        <v>127</v>
      </c>
      <c r="D301" t="s">
        <v>19</v>
      </c>
      <c r="E301" t="s">
        <v>8</v>
      </c>
      <c r="F301" t="s">
        <v>25</v>
      </c>
      <c r="G301">
        <v>2</v>
      </c>
      <c r="H301">
        <v>673.9</v>
      </c>
      <c r="I301">
        <v>5</v>
      </c>
      <c r="J301" t="s">
        <v>33</v>
      </c>
      <c r="K301" t="s">
        <v>77</v>
      </c>
      <c r="L301" t="s">
        <v>37</v>
      </c>
      <c r="M301" t="s">
        <v>311</v>
      </c>
    </row>
    <row r="302" spans="1:13" x14ac:dyDescent="0.3">
      <c r="A302" t="s">
        <v>693</v>
      </c>
      <c r="B302" t="s">
        <v>399</v>
      </c>
      <c r="C302" t="s">
        <v>81</v>
      </c>
      <c r="D302" t="s">
        <v>21</v>
      </c>
      <c r="E302" t="s">
        <v>5</v>
      </c>
      <c r="F302" t="s">
        <v>25</v>
      </c>
      <c r="G302">
        <v>3</v>
      </c>
      <c r="H302">
        <v>892.31</v>
      </c>
      <c r="I302">
        <v>5</v>
      </c>
      <c r="J302" t="s">
        <v>30</v>
      </c>
      <c r="K302" t="s">
        <v>87</v>
      </c>
      <c r="L302" t="s">
        <v>37</v>
      </c>
      <c r="M302" t="s">
        <v>538</v>
      </c>
    </row>
    <row r="303" spans="1:13" x14ac:dyDescent="0.3">
      <c r="A303" t="s">
        <v>694</v>
      </c>
      <c r="B303" t="s">
        <v>447</v>
      </c>
      <c r="C303" t="s">
        <v>107</v>
      </c>
      <c r="D303" t="s">
        <v>16</v>
      </c>
      <c r="E303" t="s">
        <v>9</v>
      </c>
      <c r="F303" t="s">
        <v>27</v>
      </c>
      <c r="G303">
        <v>1</v>
      </c>
      <c r="H303">
        <v>179.68</v>
      </c>
      <c r="I303">
        <v>0</v>
      </c>
      <c r="J303" t="s">
        <v>32</v>
      </c>
      <c r="K303" t="s">
        <v>92</v>
      </c>
      <c r="L303" t="s">
        <v>37</v>
      </c>
      <c r="M303" t="s">
        <v>122</v>
      </c>
    </row>
    <row r="304" spans="1:13" x14ac:dyDescent="0.3">
      <c r="A304" t="s">
        <v>695</v>
      </c>
      <c r="B304" t="s">
        <v>346</v>
      </c>
      <c r="C304" t="s">
        <v>91</v>
      </c>
      <c r="D304" t="s">
        <v>20</v>
      </c>
      <c r="E304" t="s">
        <v>5</v>
      </c>
      <c r="F304" t="s">
        <v>25</v>
      </c>
      <c r="G304">
        <v>2</v>
      </c>
      <c r="H304">
        <v>878.03</v>
      </c>
      <c r="I304">
        <v>5</v>
      </c>
      <c r="J304" t="s">
        <v>33</v>
      </c>
      <c r="K304" t="s">
        <v>87</v>
      </c>
      <c r="L304" t="s">
        <v>37</v>
      </c>
      <c r="M304" t="s">
        <v>522</v>
      </c>
    </row>
    <row r="305" spans="1:13" x14ac:dyDescent="0.3">
      <c r="A305" t="s">
        <v>696</v>
      </c>
      <c r="B305" t="s">
        <v>697</v>
      </c>
      <c r="C305" t="s">
        <v>114</v>
      </c>
      <c r="D305" t="s">
        <v>21</v>
      </c>
      <c r="E305" t="s">
        <v>11</v>
      </c>
      <c r="F305" t="s">
        <v>26</v>
      </c>
      <c r="G305">
        <v>2</v>
      </c>
      <c r="H305">
        <v>159.79</v>
      </c>
      <c r="I305">
        <v>0</v>
      </c>
      <c r="J305" t="s">
        <v>32</v>
      </c>
      <c r="K305" t="s">
        <v>87</v>
      </c>
      <c r="L305" t="s">
        <v>38</v>
      </c>
      <c r="M305" t="s">
        <v>506</v>
      </c>
    </row>
    <row r="306" spans="1:13" x14ac:dyDescent="0.3">
      <c r="A306" t="s">
        <v>698</v>
      </c>
      <c r="B306" t="s">
        <v>113</v>
      </c>
      <c r="C306" t="s">
        <v>91</v>
      </c>
      <c r="D306" t="s">
        <v>19</v>
      </c>
      <c r="E306" t="s">
        <v>11</v>
      </c>
      <c r="F306" t="s">
        <v>26</v>
      </c>
      <c r="G306">
        <v>1</v>
      </c>
      <c r="H306">
        <v>151.49</v>
      </c>
      <c r="I306">
        <v>0</v>
      </c>
      <c r="J306" t="s">
        <v>31</v>
      </c>
      <c r="K306" t="s">
        <v>92</v>
      </c>
      <c r="L306" t="s">
        <v>37</v>
      </c>
      <c r="M306" t="s">
        <v>22</v>
      </c>
    </row>
    <row r="307" spans="1:13" x14ac:dyDescent="0.3">
      <c r="A307" t="s">
        <v>699</v>
      </c>
      <c r="B307" t="s">
        <v>310</v>
      </c>
      <c r="C307" t="s">
        <v>107</v>
      </c>
      <c r="D307" t="s">
        <v>18</v>
      </c>
      <c r="E307" t="s">
        <v>7</v>
      </c>
      <c r="F307" t="s">
        <v>27</v>
      </c>
      <c r="G307">
        <v>3</v>
      </c>
      <c r="H307">
        <v>421.47</v>
      </c>
      <c r="I307">
        <v>20</v>
      </c>
      <c r="J307" t="s">
        <v>32</v>
      </c>
      <c r="K307" t="s">
        <v>77</v>
      </c>
      <c r="L307" t="s">
        <v>38</v>
      </c>
      <c r="M307" t="s">
        <v>203</v>
      </c>
    </row>
    <row r="308" spans="1:13" x14ac:dyDescent="0.3">
      <c r="A308" t="s">
        <v>700</v>
      </c>
      <c r="B308" t="s">
        <v>701</v>
      </c>
      <c r="C308" t="s">
        <v>127</v>
      </c>
      <c r="D308" t="s">
        <v>19</v>
      </c>
      <c r="E308" t="s">
        <v>11</v>
      </c>
      <c r="F308" t="s">
        <v>26</v>
      </c>
      <c r="G308">
        <v>1</v>
      </c>
      <c r="H308">
        <v>149.81</v>
      </c>
      <c r="I308">
        <v>20</v>
      </c>
      <c r="J308" t="s">
        <v>31</v>
      </c>
      <c r="K308" t="s">
        <v>92</v>
      </c>
      <c r="L308" t="s">
        <v>38</v>
      </c>
      <c r="M308" t="s">
        <v>83</v>
      </c>
    </row>
    <row r="309" spans="1:13" x14ac:dyDescent="0.3">
      <c r="A309" t="s">
        <v>702</v>
      </c>
      <c r="B309" t="s">
        <v>249</v>
      </c>
      <c r="C309" t="s">
        <v>103</v>
      </c>
      <c r="D309" t="s">
        <v>20</v>
      </c>
      <c r="E309" t="s">
        <v>8</v>
      </c>
      <c r="F309" t="s">
        <v>25</v>
      </c>
      <c r="G309">
        <v>4</v>
      </c>
      <c r="H309">
        <v>706.90499999999997</v>
      </c>
      <c r="I309">
        <v>5</v>
      </c>
      <c r="J309" t="s">
        <v>33</v>
      </c>
      <c r="K309" t="s">
        <v>77</v>
      </c>
      <c r="L309" t="s">
        <v>37</v>
      </c>
      <c r="M309" t="s">
        <v>498</v>
      </c>
    </row>
    <row r="310" spans="1:13" x14ac:dyDescent="0.3">
      <c r="A310" t="s">
        <v>703</v>
      </c>
      <c r="B310" t="s">
        <v>157</v>
      </c>
      <c r="C310" t="s">
        <v>114</v>
      </c>
      <c r="D310" t="s">
        <v>19</v>
      </c>
      <c r="E310" t="s">
        <v>8</v>
      </c>
      <c r="F310" t="s">
        <v>25</v>
      </c>
      <c r="G310">
        <v>3</v>
      </c>
      <c r="H310">
        <v>626.91</v>
      </c>
      <c r="I310">
        <v>5</v>
      </c>
      <c r="J310" t="s">
        <v>30</v>
      </c>
      <c r="K310" t="s">
        <v>87</v>
      </c>
      <c r="L310" t="s">
        <v>37</v>
      </c>
      <c r="M310" t="s">
        <v>427</v>
      </c>
    </row>
    <row r="311" spans="1:13" x14ac:dyDescent="0.3">
      <c r="A311" t="s">
        <v>704</v>
      </c>
      <c r="B311" t="s">
        <v>705</v>
      </c>
      <c r="C311" t="s">
        <v>76</v>
      </c>
      <c r="D311" t="s">
        <v>18</v>
      </c>
      <c r="E311" t="s">
        <v>10</v>
      </c>
      <c r="F311" t="s">
        <v>25</v>
      </c>
      <c r="G311">
        <v>3</v>
      </c>
      <c r="H311">
        <v>369.52</v>
      </c>
      <c r="I311">
        <v>0</v>
      </c>
      <c r="J311" t="s">
        <v>31</v>
      </c>
      <c r="K311" t="s">
        <v>92</v>
      </c>
      <c r="L311" t="s">
        <v>39</v>
      </c>
      <c r="M311" t="s">
        <v>189</v>
      </c>
    </row>
    <row r="312" spans="1:13" x14ac:dyDescent="0.3">
      <c r="A312" t="s">
        <v>706</v>
      </c>
      <c r="B312" t="s">
        <v>90</v>
      </c>
      <c r="C312" t="s">
        <v>91</v>
      </c>
      <c r="D312" t="s">
        <v>18</v>
      </c>
      <c r="E312" t="s">
        <v>5</v>
      </c>
      <c r="F312" t="s">
        <v>25</v>
      </c>
      <c r="G312">
        <v>3</v>
      </c>
      <c r="H312">
        <v>1041.6099999999999</v>
      </c>
      <c r="I312">
        <v>15</v>
      </c>
      <c r="J312" t="s">
        <v>32</v>
      </c>
      <c r="K312" t="s">
        <v>77</v>
      </c>
      <c r="L312" t="s">
        <v>39</v>
      </c>
      <c r="M312" t="s">
        <v>474</v>
      </c>
    </row>
    <row r="313" spans="1:13" x14ac:dyDescent="0.3">
      <c r="A313" t="s">
        <v>707</v>
      </c>
      <c r="B313" t="s">
        <v>370</v>
      </c>
      <c r="C313" t="s">
        <v>114</v>
      </c>
      <c r="D313" t="s">
        <v>16</v>
      </c>
      <c r="E313" t="s">
        <v>8</v>
      </c>
      <c r="F313" t="s">
        <v>25</v>
      </c>
      <c r="G313">
        <v>1</v>
      </c>
      <c r="H313">
        <v>608.38</v>
      </c>
      <c r="I313">
        <v>15</v>
      </c>
      <c r="J313" t="s">
        <v>31</v>
      </c>
      <c r="K313" t="s">
        <v>92</v>
      </c>
      <c r="L313" t="s">
        <v>37</v>
      </c>
      <c r="M313" t="s">
        <v>131</v>
      </c>
    </row>
    <row r="314" spans="1:13" x14ac:dyDescent="0.3">
      <c r="A314" t="s">
        <v>708</v>
      </c>
      <c r="B314" t="s">
        <v>335</v>
      </c>
      <c r="C314" t="s">
        <v>91</v>
      </c>
      <c r="D314" t="s">
        <v>18</v>
      </c>
      <c r="E314" t="s">
        <v>14</v>
      </c>
      <c r="F314" t="s">
        <v>28</v>
      </c>
      <c r="G314">
        <v>3</v>
      </c>
      <c r="H314">
        <v>49.78</v>
      </c>
      <c r="I314">
        <v>20</v>
      </c>
      <c r="J314" t="s">
        <v>33</v>
      </c>
      <c r="K314" t="s">
        <v>82</v>
      </c>
      <c r="L314" t="s">
        <v>37</v>
      </c>
      <c r="M314" t="s">
        <v>22</v>
      </c>
    </row>
    <row r="315" spans="1:13" x14ac:dyDescent="0.3">
      <c r="A315" t="s">
        <v>709</v>
      </c>
      <c r="B315" t="s">
        <v>710</v>
      </c>
      <c r="C315" t="s">
        <v>114</v>
      </c>
      <c r="D315" t="s">
        <v>19</v>
      </c>
      <c r="E315" t="s">
        <v>14</v>
      </c>
      <c r="F315" t="s">
        <v>28</v>
      </c>
      <c r="G315">
        <v>5</v>
      </c>
      <c r="H315">
        <v>55.59</v>
      </c>
      <c r="I315">
        <v>15</v>
      </c>
      <c r="J315" t="s">
        <v>33</v>
      </c>
      <c r="K315" t="s">
        <v>82</v>
      </c>
      <c r="L315" t="s">
        <v>37</v>
      </c>
      <c r="M315" t="s">
        <v>200</v>
      </c>
    </row>
    <row r="316" spans="1:13" x14ac:dyDescent="0.3">
      <c r="A316" t="s">
        <v>711</v>
      </c>
      <c r="B316" t="s">
        <v>712</v>
      </c>
      <c r="C316" t="s">
        <v>86</v>
      </c>
      <c r="D316" t="s">
        <v>20</v>
      </c>
      <c r="E316" t="s">
        <v>9</v>
      </c>
      <c r="F316" t="s">
        <v>27</v>
      </c>
      <c r="G316">
        <v>4</v>
      </c>
      <c r="H316">
        <v>180.32</v>
      </c>
      <c r="I316">
        <v>10</v>
      </c>
      <c r="J316" t="s">
        <v>31</v>
      </c>
      <c r="K316" t="s">
        <v>92</v>
      </c>
      <c r="L316" t="s">
        <v>38</v>
      </c>
      <c r="M316" t="s">
        <v>235</v>
      </c>
    </row>
    <row r="317" spans="1:13" x14ac:dyDescent="0.3">
      <c r="A317" t="s">
        <v>713</v>
      </c>
      <c r="B317" t="s">
        <v>257</v>
      </c>
      <c r="C317" t="s">
        <v>107</v>
      </c>
      <c r="D317" t="s">
        <v>21</v>
      </c>
      <c r="E317" t="s">
        <v>13</v>
      </c>
      <c r="F317" t="s">
        <v>28</v>
      </c>
      <c r="G317">
        <v>1</v>
      </c>
      <c r="H317">
        <v>98.56</v>
      </c>
      <c r="I317">
        <v>0</v>
      </c>
      <c r="J317" t="s">
        <v>31</v>
      </c>
      <c r="K317" t="s">
        <v>92</v>
      </c>
      <c r="L317" t="s">
        <v>38</v>
      </c>
      <c r="M317" t="s">
        <v>266</v>
      </c>
    </row>
    <row r="318" spans="1:13" x14ac:dyDescent="0.3">
      <c r="A318" t="s">
        <v>714</v>
      </c>
      <c r="B318" t="s">
        <v>715</v>
      </c>
      <c r="C318" t="s">
        <v>86</v>
      </c>
      <c r="D318" t="s">
        <v>18</v>
      </c>
      <c r="E318" t="s">
        <v>10</v>
      </c>
      <c r="F318" t="s">
        <v>25</v>
      </c>
      <c r="G318">
        <v>1</v>
      </c>
      <c r="H318">
        <v>395.33</v>
      </c>
      <c r="I318">
        <v>10</v>
      </c>
      <c r="J318" t="s">
        <v>32</v>
      </c>
      <c r="K318" t="s">
        <v>92</v>
      </c>
      <c r="L318" t="s">
        <v>37</v>
      </c>
      <c r="M318" t="s">
        <v>458</v>
      </c>
    </row>
    <row r="319" spans="1:13" x14ac:dyDescent="0.3">
      <c r="A319" t="s">
        <v>716</v>
      </c>
      <c r="B319" t="s">
        <v>717</v>
      </c>
      <c r="C319" t="s">
        <v>127</v>
      </c>
      <c r="D319" t="s">
        <v>19</v>
      </c>
      <c r="E319" t="s">
        <v>9</v>
      </c>
      <c r="F319" t="s">
        <v>27</v>
      </c>
      <c r="G319">
        <v>1</v>
      </c>
      <c r="H319">
        <v>188.73</v>
      </c>
      <c r="I319">
        <v>0</v>
      </c>
      <c r="J319" t="s">
        <v>30</v>
      </c>
      <c r="K319" t="s">
        <v>82</v>
      </c>
      <c r="L319" t="s">
        <v>39</v>
      </c>
      <c r="M319" t="s">
        <v>718</v>
      </c>
    </row>
    <row r="320" spans="1:13" x14ac:dyDescent="0.3">
      <c r="A320" t="s">
        <v>719</v>
      </c>
      <c r="B320" t="s">
        <v>720</v>
      </c>
      <c r="C320" t="s">
        <v>81</v>
      </c>
      <c r="D320" t="s">
        <v>21</v>
      </c>
      <c r="E320" t="s">
        <v>12</v>
      </c>
      <c r="F320" t="s">
        <v>25</v>
      </c>
      <c r="G320">
        <v>1</v>
      </c>
      <c r="H320">
        <v>119.6</v>
      </c>
      <c r="I320">
        <v>15</v>
      </c>
      <c r="J320" t="s">
        <v>31</v>
      </c>
      <c r="K320" t="s">
        <v>82</v>
      </c>
      <c r="L320" t="s">
        <v>38</v>
      </c>
      <c r="M320" t="s">
        <v>22</v>
      </c>
    </row>
    <row r="321" spans="1:13" x14ac:dyDescent="0.3">
      <c r="A321" t="s">
        <v>721</v>
      </c>
      <c r="B321" t="s">
        <v>566</v>
      </c>
      <c r="C321" t="s">
        <v>103</v>
      </c>
      <c r="D321" t="s">
        <v>22</v>
      </c>
      <c r="E321" t="s">
        <v>6</v>
      </c>
      <c r="F321" t="s">
        <v>26</v>
      </c>
      <c r="G321">
        <v>2</v>
      </c>
      <c r="H321">
        <v>870.6</v>
      </c>
      <c r="I321">
        <v>0</v>
      </c>
      <c r="J321" t="s">
        <v>33</v>
      </c>
      <c r="K321" t="s">
        <v>82</v>
      </c>
      <c r="L321" t="s">
        <v>39</v>
      </c>
      <c r="M321" t="s">
        <v>430</v>
      </c>
    </row>
    <row r="322" spans="1:13" x14ac:dyDescent="0.3">
      <c r="A322" t="s">
        <v>722</v>
      </c>
      <c r="B322" t="s">
        <v>495</v>
      </c>
      <c r="C322" t="s">
        <v>114</v>
      </c>
      <c r="D322" t="s">
        <v>16</v>
      </c>
      <c r="E322" t="s">
        <v>5</v>
      </c>
      <c r="F322" t="s">
        <v>25</v>
      </c>
      <c r="G322">
        <v>3</v>
      </c>
      <c r="H322">
        <v>927.55</v>
      </c>
      <c r="I322">
        <v>5</v>
      </c>
      <c r="J322" t="s">
        <v>30</v>
      </c>
      <c r="K322" t="s">
        <v>82</v>
      </c>
      <c r="L322" t="s">
        <v>39</v>
      </c>
      <c r="M322" t="s">
        <v>549</v>
      </c>
    </row>
    <row r="323" spans="1:13" x14ac:dyDescent="0.3">
      <c r="A323" t="s">
        <v>723</v>
      </c>
      <c r="B323" t="s">
        <v>724</v>
      </c>
      <c r="C323" t="s">
        <v>76</v>
      </c>
      <c r="D323" t="s">
        <v>20</v>
      </c>
      <c r="E323" t="s">
        <v>14</v>
      </c>
      <c r="F323" t="s">
        <v>28</v>
      </c>
      <c r="G323">
        <v>2</v>
      </c>
      <c r="H323">
        <v>60.83</v>
      </c>
      <c r="I323">
        <v>10</v>
      </c>
      <c r="J323" t="s">
        <v>30</v>
      </c>
      <c r="K323" t="s">
        <v>87</v>
      </c>
      <c r="L323" t="s">
        <v>38</v>
      </c>
      <c r="M323" t="s">
        <v>538</v>
      </c>
    </row>
    <row r="324" spans="1:13" x14ac:dyDescent="0.3">
      <c r="A324" t="s">
        <v>725</v>
      </c>
      <c r="B324" t="s">
        <v>216</v>
      </c>
      <c r="C324" t="s">
        <v>91</v>
      </c>
      <c r="D324" t="s">
        <v>16</v>
      </c>
      <c r="E324" t="s">
        <v>12</v>
      </c>
      <c r="F324" t="s">
        <v>25</v>
      </c>
      <c r="G324">
        <v>2</v>
      </c>
      <c r="H324">
        <v>118.09</v>
      </c>
      <c r="I324">
        <v>15</v>
      </c>
      <c r="J324" t="s">
        <v>30</v>
      </c>
      <c r="K324" t="s">
        <v>82</v>
      </c>
      <c r="L324" t="s">
        <v>37</v>
      </c>
      <c r="M324" t="s">
        <v>726</v>
      </c>
    </row>
    <row r="325" spans="1:13" x14ac:dyDescent="0.3">
      <c r="A325" t="s">
        <v>727</v>
      </c>
      <c r="B325" t="s">
        <v>282</v>
      </c>
      <c r="C325" t="s">
        <v>103</v>
      </c>
      <c r="D325" t="s">
        <v>22</v>
      </c>
      <c r="E325" t="s">
        <v>13</v>
      </c>
      <c r="F325" t="s">
        <v>28</v>
      </c>
      <c r="G325">
        <v>3</v>
      </c>
      <c r="H325">
        <v>87.94</v>
      </c>
      <c r="I325">
        <v>0</v>
      </c>
      <c r="J325" t="s">
        <v>32</v>
      </c>
      <c r="K325" t="s">
        <v>87</v>
      </c>
      <c r="L325" t="s">
        <v>37</v>
      </c>
      <c r="M325" t="s">
        <v>718</v>
      </c>
    </row>
    <row r="326" spans="1:13" x14ac:dyDescent="0.3">
      <c r="A326" t="s">
        <v>728</v>
      </c>
      <c r="B326" t="s">
        <v>715</v>
      </c>
      <c r="C326" t="s">
        <v>81</v>
      </c>
      <c r="D326" t="s">
        <v>17</v>
      </c>
      <c r="E326" t="s">
        <v>6</v>
      </c>
      <c r="F326" t="s">
        <v>26</v>
      </c>
      <c r="G326">
        <v>1</v>
      </c>
      <c r="H326">
        <v>845.66</v>
      </c>
      <c r="I326">
        <v>10</v>
      </c>
      <c r="J326" t="s">
        <v>32</v>
      </c>
      <c r="K326" t="s">
        <v>87</v>
      </c>
      <c r="L326" t="s">
        <v>37</v>
      </c>
      <c r="M326" t="s">
        <v>241</v>
      </c>
    </row>
    <row r="327" spans="1:13" x14ac:dyDescent="0.3">
      <c r="A327" t="s">
        <v>729</v>
      </c>
      <c r="B327" t="s">
        <v>436</v>
      </c>
      <c r="C327" t="s">
        <v>76</v>
      </c>
      <c r="D327" t="s">
        <v>18</v>
      </c>
      <c r="E327" t="s">
        <v>14</v>
      </c>
      <c r="F327" t="s">
        <v>28</v>
      </c>
      <c r="G327">
        <v>3</v>
      </c>
      <c r="H327">
        <v>61.06</v>
      </c>
      <c r="I327">
        <v>0</v>
      </c>
      <c r="J327" t="s">
        <v>30</v>
      </c>
      <c r="K327" t="s">
        <v>82</v>
      </c>
      <c r="L327" t="s">
        <v>37</v>
      </c>
      <c r="M327" t="s">
        <v>344</v>
      </c>
    </row>
    <row r="328" spans="1:13" x14ac:dyDescent="0.3">
      <c r="A328" t="s">
        <v>730</v>
      </c>
      <c r="B328" t="s">
        <v>468</v>
      </c>
      <c r="C328" t="s">
        <v>86</v>
      </c>
      <c r="D328" t="s">
        <v>16</v>
      </c>
      <c r="E328" t="s">
        <v>12</v>
      </c>
      <c r="F328" t="s">
        <v>25</v>
      </c>
      <c r="G328">
        <v>1</v>
      </c>
      <c r="H328">
        <v>114.7</v>
      </c>
      <c r="I328">
        <v>0</v>
      </c>
      <c r="J328" t="s">
        <v>30</v>
      </c>
      <c r="K328" t="s">
        <v>77</v>
      </c>
      <c r="L328" t="s">
        <v>39</v>
      </c>
      <c r="M328" t="s">
        <v>546</v>
      </c>
    </row>
    <row r="329" spans="1:13" x14ac:dyDescent="0.3">
      <c r="A329" t="s">
        <v>731</v>
      </c>
      <c r="B329" t="s">
        <v>102</v>
      </c>
      <c r="C329" t="s">
        <v>81</v>
      </c>
      <c r="D329" t="s">
        <v>19</v>
      </c>
      <c r="E329" t="s">
        <v>11</v>
      </c>
      <c r="F329" t="s">
        <v>26</v>
      </c>
      <c r="G329">
        <v>1</v>
      </c>
      <c r="H329">
        <v>158.79</v>
      </c>
      <c r="I329">
        <v>0</v>
      </c>
      <c r="J329" t="s">
        <v>32</v>
      </c>
      <c r="K329" t="s">
        <v>87</v>
      </c>
      <c r="L329" t="s">
        <v>38</v>
      </c>
      <c r="M329" t="s">
        <v>181</v>
      </c>
    </row>
    <row r="330" spans="1:13" x14ac:dyDescent="0.3">
      <c r="A330" t="s">
        <v>732</v>
      </c>
      <c r="B330" t="s">
        <v>429</v>
      </c>
      <c r="C330" t="s">
        <v>114</v>
      </c>
      <c r="D330" t="s">
        <v>19</v>
      </c>
      <c r="E330" t="s">
        <v>10</v>
      </c>
      <c r="F330" t="s">
        <v>25</v>
      </c>
      <c r="G330">
        <v>3</v>
      </c>
      <c r="H330">
        <v>328.19</v>
      </c>
      <c r="I330">
        <v>5</v>
      </c>
      <c r="J330" t="s">
        <v>31</v>
      </c>
      <c r="K330" t="s">
        <v>87</v>
      </c>
      <c r="L330" t="s">
        <v>37</v>
      </c>
      <c r="M330" t="s">
        <v>453</v>
      </c>
    </row>
    <row r="331" spans="1:13" x14ac:dyDescent="0.3">
      <c r="A331" t="s">
        <v>733</v>
      </c>
      <c r="B331" t="s">
        <v>717</v>
      </c>
      <c r="C331" t="s">
        <v>107</v>
      </c>
      <c r="D331" t="s">
        <v>20</v>
      </c>
      <c r="E331" t="s">
        <v>12</v>
      </c>
      <c r="F331" t="s">
        <v>25</v>
      </c>
      <c r="G331">
        <v>2</v>
      </c>
      <c r="H331">
        <v>126.93</v>
      </c>
      <c r="I331">
        <v>5</v>
      </c>
      <c r="J331" t="s">
        <v>30</v>
      </c>
      <c r="K331" t="s">
        <v>82</v>
      </c>
      <c r="L331" t="s">
        <v>37</v>
      </c>
      <c r="M331" t="s">
        <v>734</v>
      </c>
    </row>
    <row r="332" spans="1:13" x14ac:dyDescent="0.3">
      <c r="A332" t="s">
        <v>735</v>
      </c>
      <c r="B332" t="s">
        <v>687</v>
      </c>
      <c r="C332" t="s">
        <v>127</v>
      </c>
      <c r="D332" t="s">
        <v>18</v>
      </c>
      <c r="E332" t="s">
        <v>5</v>
      </c>
      <c r="F332" t="s">
        <v>25</v>
      </c>
      <c r="G332">
        <v>3</v>
      </c>
      <c r="H332">
        <v>971.27</v>
      </c>
      <c r="I332">
        <v>15</v>
      </c>
      <c r="J332" t="s">
        <v>32</v>
      </c>
      <c r="K332" t="s">
        <v>77</v>
      </c>
      <c r="L332" t="s">
        <v>37</v>
      </c>
      <c r="M332" t="s">
        <v>366</v>
      </c>
    </row>
    <row r="333" spans="1:13" x14ac:dyDescent="0.3">
      <c r="A333" t="s">
        <v>736</v>
      </c>
      <c r="B333" t="s">
        <v>429</v>
      </c>
      <c r="C333" t="s">
        <v>107</v>
      </c>
      <c r="D333" t="s">
        <v>16</v>
      </c>
      <c r="E333" t="s">
        <v>11</v>
      </c>
      <c r="F333" t="s">
        <v>26</v>
      </c>
      <c r="G333">
        <v>1</v>
      </c>
      <c r="H333">
        <v>136.41</v>
      </c>
      <c r="I333">
        <v>20</v>
      </c>
      <c r="J333" t="s">
        <v>31</v>
      </c>
      <c r="K333" t="s">
        <v>92</v>
      </c>
      <c r="L333" t="s">
        <v>37</v>
      </c>
      <c r="M333" t="s">
        <v>559</v>
      </c>
    </row>
    <row r="334" spans="1:13" x14ac:dyDescent="0.3">
      <c r="A334" t="s">
        <v>737</v>
      </c>
      <c r="B334" t="s">
        <v>515</v>
      </c>
      <c r="C334" t="s">
        <v>76</v>
      </c>
      <c r="D334" t="s">
        <v>18</v>
      </c>
      <c r="E334" t="s">
        <v>9</v>
      </c>
      <c r="F334" t="s">
        <v>27</v>
      </c>
      <c r="G334">
        <v>1</v>
      </c>
      <c r="H334">
        <v>201.46</v>
      </c>
      <c r="I334">
        <v>10</v>
      </c>
      <c r="J334" t="s">
        <v>30</v>
      </c>
      <c r="K334" t="s">
        <v>82</v>
      </c>
      <c r="L334" t="s">
        <v>37</v>
      </c>
      <c r="M334" t="s">
        <v>220</v>
      </c>
    </row>
    <row r="335" spans="1:13" x14ac:dyDescent="0.3">
      <c r="A335" t="s">
        <v>738</v>
      </c>
      <c r="B335" t="s">
        <v>354</v>
      </c>
      <c r="C335" t="s">
        <v>121</v>
      </c>
      <c r="D335" t="s">
        <v>16</v>
      </c>
      <c r="E335" t="s">
        <v>10</v>
      </c>
      <c r="F335" t="s">
        <v>25</v>
      </c>
      <c r="G335">
        <v>1</v>
      </c>
      <c r="H335">
        <v>340.45</v>
      </c>
      <c r="I335">
        <v>5</v>
      </c>
      <c r="J335" t="s">
        <v>31</v>
      </c>
      <c r="K335" t="s">
        <v>87</v>
      </c>
      <c r="L335" t="s">
        <v>38</v>
      </c>
      <c r="M335" t="s">
        <v>261</v>
      </c>
    </row>
    <row r="336" spans="1:13" x14ac:dyDescent="0.3">
      <c r="A336" t="s">
        <v>739</v>
      </c>
      <c r="B336" t="s">
        <v>282</v>
      </c>
      <c r="C336" t="s">
        <v>81</v>
      </c>
      <c r="D336" t="s">
        <v>21</v>
      </c>
      <c r="E336" t="s">
        <v>7</v>
      </c>
      <c r="F336" t="s">
        <v>27</v>
      </c>
      <c r="G336">
        <v>2</v>
      </c>
      <c r="H336">
        <v>395.31</v>
      </c>
      <c r="I336">
        <v>15</v>
      </c>
      <c r="J336" t="s">
        <v>31</v>
      </c>
      <c r="K336" t="s">
        <v>82</v>
      </c>
      <c r="L336" t="s">
        <v>37</v>
      </c>
      <c r="M336" t="s">
        <v>740</v>
      </c>
    </row>
  </sheetData>
  <autoFilter ref="A1:M336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Normal="100" workbookViewId="0">
      <pane ySplit="1" topLeftCell="A2" activePane="bottomLeft" state="frozen"/>
      <selection pane="bottomLeft" activeCell="C29" sqref="C29"/>
    </sheetView>
  </sheetViews>
  <sheetFormatPr defaultColWidth="8.6640625" defaultRowHeight="14.4" x14ac:dyDescent="0.3"/>
  <cols>
    <col min="1" max="1" width="23" customWidth="1"/>
    <col min="2" max="2" width="34" customWidth="1"/>
  </cols>
  <sheetData>
    <row r="1" spans="1:2" ht="30" customHeight="1" x14ac:dyDescent="0.3">
      <c r="A1" s="14" t="s">
        <v>741</v>
      </c>
      <c r="B1" s="14" t="s">
        <v>742</v>
      </c>
    </row>
    <row r="2" spans="1:2" x14ac:dyDescent="0.3">
      <c r="A2" t="s">
        <v>743</v>
      </c>
      <c r="B2" t="s">
        <v>744</v>
      </c>
    </row>
    <row r="3" spans="1:2" x14ac:dyDescent="0.3">
      <c r="A3" t="s">
        <v>745</v>
      </c>
      <c r="B3" t="s">
        <v>746</v>
      </c>
    </row>
    <row r="4" spans="1:2" x14ac:dyDescent="0.3">
      <c r="A4" t="s">
        <v>747</v>
      </c>
      <c r="B4" t="s">
        <v>748</v>
      </c>
    </row>
    <row r="5" spans="1:2" x14ac:dyDescent="0.3">
      <c r="A5" t="s">
        <v>749</v>
      </c>
      <c r="B5" t="s">
        <v>750</v>
      </c>
    </row>
    <row r="6" spans="1:2" x14ac:dyDescent="0.3">
      <c r="A6" t="s">
        <v>751</v>
      </c>
      <c r="B6" t="s">
        <v>752</v>
      </c>
    </row>
    <row r="7" spans="1:2" x14ac:dyDescent="0.3">
      <c r="A7" t="s">
        <v>753</v>
      </c>
      <c r="B7" t="s">
        <v>754</v>
      </c>
    </row>
  </sheetData>
  <autoFilter ref="A1:B7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14" customWidth="1"/>
    <col min="2" max="2" width="20.21875" customWidth="1"/>
  </cols>
  <sheetData>
    <row r="1" spans="1:2" x14ac:dyDescent="0.3">
      <c r="A1" s="16" t="s">
        <v>72</v>
      </c>
      <c r="B1" s="17" t="s">
        <v>37</v>
      </c>
    </row>
    <row r="3" spans="1:2" x14ac:dyDescent="0.3">
      <c r="A3" s="18" t="s">
        <v>65</v>
      </c>
      <c r="B3" s="19" t="s">
        <v>755</v>
      </c>
    </row>
    <row r="4" spans="1:2" x14ac:dyDescent="0.3">
      <c r="A4" s="20" t="s">
        <v>5</v>
      </c>
      <c r="B4" s="21">
        <v>32058.495999999999</v>
      </c>
    </row>
    <row r="5" spans="1:2" x14ac:dyDescent="0.3">
      <c r="A5" s="22" t="s">
        <v>6</v>
      </c>
      <c r="B5" s="23">
        <v>29689.491000000002</v>
      </c>
    </row>
    <row r="6" spans="1:2" x14ac:dyDescent="0.3">
      <c r="A6" s="22" t="s">
        <v>7</v>
      </c>
      <c r="B6" s="23">
        <v>21851.7935</v>
      </c>
    </row>
    <row r="7" spans="1:2" x14ac:dyDescent="0.3">
      <c r="A7" s="22" t="s">
        <v>8</v>
      </c>
      <c r="B7" s="23">
        <v>21558.4565</v>
      </c>
    </row>
    <row r="8" spans="1:2" x14ac:dyDescent="0.3">
      <c r="A8" s="22" t="s">
        <v>9</v>
      </c>
      <c r="B8" s="23">
        <v>6758.1395000000002</v>
      </c>
    </row>
    <row r="9" spans="1:2" x14ac:dyDescent="0.3">
      <c r="A9" s="22" t="s">
        <v>10</v>
      </c>
      <c r="B9" s="23">
        <v>5622.66</v>
      </c>
    </row>
    <row r="10" spans="1:2" x14ac:dyDescent="0.3">
      <c r="A10" s="22" t="s">
        <v>11</v>
      </c>
      <c r="B10" s="23">
        <v>4684.1450000000004</v>
      </c>
    </row>
    <row r="11" spans="1:2" x14ac:dyDescent="0.3">
      <c r="A11" s="22" t="s">
        <v>12</v>
      </c>
      <c r="B11" s="23">
        <v>3704.9364999999998</v>
      </c>
    </row>
    <row r="12" spans="1:2" x14ac:dyDescent="0.3">
      <c r="A12" s="22" t="s">
        <v>13</v>
      </c>
      <c r="B12" s="23">
        <v>2444.1410000000001</v>
      </c>
    </row>
    <row r="13" spans="1:2" x14ac:dyDescent="0.3">
      <c r="A13" s="22" t="s">
        <v>14</v>
      </c>
      <c r="B13" s="24">
        <v>2119.3420000000001</v>
      </c>
    </row>
    <row r="14" spans="1:2" x14ac:dyDescent="0.3">
      <c r="A14" s="25" t="s">
        <v>756</v>
      </c>
      <c r="B14" s="26">
        <v>130491.601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zoomScaleNormal="100" workbookViewId="0">
      <selection activeCell="B11" sqref="B11"/>
    </sheetView>
  </sheetViews>
  <sheetFormatPr defaultColWidth="8.6640625" defaultRowHeight="14.4" x14ac:dyDescent="0.3"/>
  <cols>
    <col min="1" max="1" width="12.5546875" customWidth="1"/>
    <col min="2" max="2" width="20.21875" customWidth="1"/>
  </cols>
  <sheetData>
    <row r="1" spans="1:2" x14ac:dyDescent="0.3">
      <c r="A1" s="16" t="s">
        <v>72</v>
      </c>
      <c r="B1" s="17" t="s">
        <v>37</v>
      </c>
    </row>
    <row r="3" spans="1:2" x14ac:dyDescent="0.3">
      <c r="A3" s="18" t="s">
        <v>64</v>
      </c>
      <c r="B3" s="19" t="s">
        <v>755</v>
      </c>
    </row>
    <row r="4" spans="1:2" x14ac:dyDescent="0.3">
      <c r="A4" s="20" t="s">
        <v>21</v>
      </c>
      <c r="B4" s="21">
        <v>18497.05</v>
      </c>
    </row>
    <row r="5" spans="1:2" x14ac:dyDescent="0.3">
      <c r="A5" s="22" t="s">
        <v>17</v>
      </c>
      <c r="B5" s="23">
        <v>21340.655999999999</v>
      </c>
    </row>
    <row r="6" spans="1:2" x14ac:dyDescent="0.3">
      <c r="A6" s="22" t="s">
        <v>20</v>
      </c>
      <c r="B6" s="23">
        <v>18596.392</v>
      </c>
    </row>
    <row r="7" spans="1:2" x14ac:dyDescent="0.3">
      <c r="A7" s="22" t="s">
        <v>16</v>
      </c>
      <c r="B7" s="23">
        <v>31587.162499999999</v>
      </c>
    </row>
    <row r="8" spans="1:2" x14ac:dyDescent="0.3">
      <c r="A8" s="22" t="s">
        <v>18</v>
      </c>
      <c r="B8" s="23">
        <v>20239.9005</v>
      </c>
    </row>
    <row r="9" spans="1:2" x14ac:dyDescent="0.3">
      <c r="A9" s="22" t="s">
        <v>19</v>
      </c>
      <c r="B9" s="23">
        <v>19703.739000000001</v>
      </c>
    </row>
    <row r="10" spans="1:2" x14ac:dyDescent="0.3">
      <c r="A10" s="22" t="s">
        <v>22</v>
      </c>
      <c r="B10" s="24">
        <v>526.70100000000002</v>
      </c>
    </row>
    <row r="11" spans="1:2" x14ac:dyDescent="0.3">
      <c r="A11" s="25" t="s">
        <v>756</v>
      </c>
      <c r="B11" s="26">
        <v>130491.601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Normal="100" workbookViewId="0">
      <selection activeCell="A3" sqref="A3"/>
    </sheetView>
  </sheetViews>
  <sheetFormatPr defaultColWidth="8.6640625" defaultRowHeight="14.4" x14ac:dyDescent="0.3"/>
  <cols>
    <col min="1" max="1" width="14.21875" customWidth="1"/>
    <col min="2" max="2" width="20.21875" customWidth="1"/>
  </cols>
  <sheetData>
    <row r="1" spans="1:2" x14ac:dyDescent="0.3">
      <c r="A1" s="16" t="s">
        <v>72</v>
      </c>
      <c r="B1" s="17" t="s">
        <v>37</v>
      </c>
    </row>
    <row r="3" spans="1:2" x14ac:dyDescent="0.3">
      <c r="A3" s="18" t="s">
        <v>66</v>
      </c>
      <c r="B3" s="19" t="s">
        <v>755</v>
      </c>
    </row>
    <row r="4" spans="1:2" x14ac:dyDescent="0.3">
      <c r="A4" s="20" t="s">
        <v>26</v>
      </c>
      <c r="B4" s="21">
        <v>34373.635999999999</v>
      </c>
    </row>
    <row r="5" spans="1:2" x14ac:dyDescent="0.3">
      <c r="A5" s="22" t="s">
        <v>25</v>
      </c>
      <c r="B5" s="23">
        <v>62944.548999999999</v>
      </c>
    </row>
    <row r="6" spans="1:2" x14ac:dyDescent="0.3">
      <c r="A6" s="22" t="s">
        <v>27</v>
      </c>
      <c r="B6" s="23">
        <v>28609.933000000001</v>
      </c>
    </row>
    <row r="7" spans="1:2" x14ac:dyDescent="0.3">
      <c r="A7" s="22" t="s">
        <v>28</v>
      </c>
      <c r="B7" s="24">
        <v>4563.4830000000002</v>
      </c>
    </row>
    <row r="8" spans="1:2" x14ac:dyDescent="0.3">
      <c r="A8" s="25" t="s">
        <v>756</v>
      </c>
      <c r="B8" s="26">
        <v>130491.601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Normal="100" workbookViewId="0">
      <selection activeCell="E14" sqref="E14"/>
    </sheetView>
  </sheetViews>
  <sheetFormatPr defaultColWidth="8.6640625" defaultRowHeight="14.4" x14ac:dyDescent="0.3"/>
  <cols>
    <col min="1" max="1" width="12.5546875" customWidth="1"/>
    <col min="2" max="2" width="20.21875" customWidth="1"/>
  </cols>
  <sheetData>
    <row r="1" spans="1:2" x14ac:dyDescent="0.3">
      <c r="A1" s="16" t="s">
        <v>72</v>
      </c>
      <c r="B1" s="17" t="s">
        <v>37</v>
      </c>
    </row>
    <row r="3" spans="1:2" x14ac:dyDescent="0.3">
      <c r="A3" s="18" t="s">
        <v>70</v>
      </c>
      <c r="B3" s="19" t="s">
        <v>755</v>
      </c>
    </row>
    <row r="4" spans="1:2" x14ac:dyDescent="0.3">
      <c r="A4" s="20" t="s">
        <v>30</v>
      </c>
      <c r="B4" s="21">
        <v>39598.178</v>
      </c>
    </row>
    <row r="5" spans="1:2" x14ac:dyDescent="0.3">
      <c r="A5" s="22" t="s">
        <v>31</v>
      </c>
      <c r="B5" s="23">
        <v>35935.887999999999</v>
      </c>
    </row>
    <row r="6" spans="1:2" x14ac:dyDescent="0.3">
      <c r="A6" s="22" t="s">
        <v>33</v>
      </c>
      <c r="B6" s="23">
        <v>21913.091499999999</v>
      </c>
    </row>
    <row r="7" spans="1:2" x14ac:dyDescent="0.3">
      <c r="A7" s="22" t="s">
        <v>32</v>
      </c>
      <c r="B7" s="24">
        <v>33044.443500000001</v>
      </c>
    </row>
    <row r="8" spans="1:2" x14ac:dyDescent="0.3">
      <c r="A8" s="25" t="s">
        <v>756</v>
      </c>
      <c r="B8" s="26">
        <v>130491.601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Normal="100" workbookViewId="0">
      <selection activeCell="F15" sqref="F15"/>
    </sheetView>
  </sheetViews>
  <sheetFormatPr defaultColWidth="8.6640625" defaultRowHeight="14.4" x14ac:dyDescent="0.3"/>
  <cols>
    <col min="1" max="1" width="12.5546875" customWidth="1"/>
    <col min="2" max="2" width="16.44140625" customWidth="1"/>
  </cols>
  <sheetData>
    <row r="1" spans="1:2" x14ac:dyDescent="0.3">
      <c r="A1" t="s">
        <v>757</v>
      </c>
    </row>
    <row r="3" spans="1:2" x14ac:dyDescent="0.3">
      <c r="A3" s="18" t="s">
        <v>72</v>
      </c>
      <c r="B3" s="19" t="s">
        <v>758</v>
      </c>
    </row>
    <row r="4" spans="1:2" x14ac:dyDescent="0.3">
      <c r="A4" s="20" t="s">
        <v>38</v>
      </c>
      <c r="B4" s="27">
        <v>71</v>
      </c>
    </row>
    <row r="5" spans="1:2" x14ac:dyDescent="0.3">
      <c r="A5" s="22" t="s">
        <v>37</v>
      </c>
      <c r="B5" s="28">
        <v>193</v>
      </c>
    </row>
    <row r="6" spans="1:2" x14ac:dyDescent="0.3">
      <c r="A6" s="22" t="s">
        <v>39</v>
      </c>
      <c r="B6" s="29">
        <v>71</v>
      </c>
    </row>
    <row r="7" spans="1:2" x14ac:dyDescent="0.3">
      <c r="A7" s="25" t="s">
        <v>756</v>
      </c>
      <c r="B7" s="30">
        <v>335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6"/>
  <sheetViews>
    <sheetView tabSelected="1" topLeftCell="D1" zoomScaleNormal="100" workbookViewId="0">
      <pane ySplit="1" topLeftCell="A2" activePane="bottomLeft" state="frozen"/>
      <selection activeCell="D1" sqref="D1"/>
      <selection pane="bottomLeft" activeCell="L4" sqref="L4"/>
    </sheetView>
  </sheetViews>
  <sheetFormatPr defaultColWidth="8.6640625" defaultRowHeight="14.4" x14ac:dyDescent="0.3"/>
  <cols>
    <col min="1" max="1" width="15" customWidth="1"/>
    <col min="2" max="2" width="14" customWidth="1"/>
    <col min="3" max="3" width="20" customWidth="1"/>
    <col min="4" max="4" width="16" customWidth="1"/>
    <col min="5" max="6" width="20" customWidth="1"/>
    <col min="7" max="7" width="12" customWidth="1"/>
    <col min="8" max="8" width="18" customWidth="1"/>
    <col min="9" max="9" width="13" customWidth="1"/>
    <col min="10" max="11" width="18" customWidth="1"/>
    <col min="12" max="12" width="16" customWidth="1"/>
    <col min="13" max="13" width="28" customWidth="1"/>
    <col min="14" max="14" width="18" customWidth="1"/>
    <col min="15" max="15" width="3" customWidth="1"/>
  </cols>
  <sheetData>
    <row r="1" spans="1:16" ht="24" customHeight="1" x14ac:dyDescent="0.3">
      <c r="A1" s="31" t="s">
        <v>61</v>
      </c>
      <c r="B1" s="31" t="s">
        <v>62</v>
      </c>
      <c r="C1" s="31" t="s">
        <v>63</v>
      </c>
      <c r="D1" s="31" t="s">
        <v>64</v>
      </c>
      <c r="E1" s="31" t="s">
        <v>65</v>
      </c>
      <c r="F1" s="31" t="s">
        <v>66</v>
      </c>
      <c r="G1" s="31" t="s">
        <v>67</v>
      </c>
      <c r="H1" s="31" t="s">
        <v>68</v>
      </c>
      <c r="I1" s="31" t="s">
        <v>69</v>
      </c>
      <c r="J1" s="31" t="s">
        <v>70</v>
      </c>
      <c r="K1" s="31" t="s">
        <v>71</v>
      </c>
      <c r="L1" s="31" t="s">
        <v>72</v>
      </c>
      <c r="M1" s="31" t="s">
        <v>73</v>
      </c>
      <c r="N1" s="31" t="s">
        <v>759</v>
      </c>
      <c r="P1" s="2" t="s">
        <v>760</v>
      </c>
    </row>
    <row r="2" spans="1:16" x14ac:dyDescent="0.3">
      <c r="A2" t="s">
        <v>74</v>
      </c>
      <c r="B2" s="8">
        <v>45772</v>
      </c>
      <c r="C2" t="s">
        <v>76</v>
      </c>
      <c r="D2" t="s">
        <v>17</v>
      </c>
      <c r="E2" t="s">
        <v>12</v>
      </c>
      <c r="F2" t="s">
        <v>25</v>
      </c>
      <c r="G2">
        <v>1</v>
      </c>
      <c r="H2" s="32">
        <v>116.25</v>
      </c>
      <c r="I2" s="33">
        <v>15</v>
      </c>
      <c r="J2" t="s">
        <v>33</v>
      </c>
      <c r="K2" t="s">
        <v>77</v>
      </c>
      <c r="L2" t="s">
        <v>37</v>
      </c>
      <c r="M2" t="s">
        <v>78</v>
      </c>
      <c r="N2" s="32">
        <v>98.8125</v>
      </c>
    </row>
    <row r="3" spans="1:16" x14ac:dyDescent="0.3">
      <c r="A3" t="s">
        <v>79</v>
      </c>
      <c r="B3" s="8">
        <v>45671</v>
      </c>
      <c r="C3" t="s">
        <v>81</v>
      </c>
      <c r="D3" t="s">
        <v>17</v>
      </c>
      <c r="E3" t="s">
        <v>10</v>
      </c>
      <c r="F3" t="s">
        <v>25</v>
      </c>
      <c r="G3">
        <v>1</v>
      </c>
      <c r="H3" s="32">
        <v>335.36</v>
      </c>
      <c r="I3" s="33">
        <v>15</v>
      </c>
      <c r="J3" t="s">
        <v>32</v>
      </c>
      <c r="K3" t="s">
        <v>82</v>
      </c>
      <c r="L3" t="s">
        <v>38</v>
      </c>
      <c r="M3" t="s">
        <v>83</v>
      </c>
      <c r="N3" s="32">
        <v>285.05599999999998</v>
      </c>
    </row>
    <row r="4" spans="1:16" x14ac:dyDescent="0.3">
      <c r="A4" t="s">
        <v>84</v>
      </c>
      <c r="B4" s="8">
        <v>45739</v>
      </c>
      <c r="C4" t="s">
        <v>86</v>
      </c>
      <c r="D4" t="s">
        <v>16</v>
      </c>
      <c r="E4" t="s">
        <v>5</v>
      </c>
      <c r="F4" t="s">
        <v>25</v>
      </c>
      <c r="G4">
        <v>1</v>
      </c>
      <c r="H4" s="32">
        <v>1061.46</v>
      </c>
      <c r="I4" s="33">
        <v>0</v>
      </c>
      <c r="J4" t="s">
        <v>31</v>
      </c>
      <c r="K4" t="s">
        <v>87</v>
      </c>
      <c r="L4" t="s">
        <v>39</v>
      </c>
      <c r="M4" t="s">
        <v>88</v>
      </c>
      <c r="N4" s="32">
        <v>1061.46</v>
      </c>
    </row>
    <row r="5" spans="1:16" x14ac:dyDescent="0.3">
      <c r="A5" t="s">
        <v>89</v>
      </c>
      <c r="B5" s="8">
        <v>45834</v>
      </c>
      <c r="C5" t="s">
        <v>91</v>
      </c>
      <c r="D5" t="s">
        <v>20</v>
      </c>
      <c r="E5" t="s">
        <v>12</v>
      </c>
      <c r="F5" t="s">
        <v>25</v>
      </c>
      <c r="G5">
        <v>1</v>
      </c>
      <c r="H5" s="32">
        <v>118.77</v>
      </c>
      <c r="I5" s="33">
        <v>15</v>
      </c>
      <c r="J5" t="s">
        <v>32</v>
      </c>
      <c r="K5" t="s">
        <v>92</v>
      </c>
      <c r="L5" t="s">
        <v>38</v>
      </c>
      <c r="M5" t="s">
        <v>93</v>
      </c>
      <c r="N5" s="32">
        <v>100.9545</v>
      </c>
    </row>
    <row r="6" spans="1:16" x14ac:dyDescent="0.3">
      <c r="A6" t="s">
        <v>94</v>
      </c>
      <c r="B6" s="8">
        <v>45843</v>
      </c>
      <c r="C6" t="s">
        <v>81</v>
      </c>
      <c r="D6" t="s">
        <v>17</v>
      </c>
      <c r="E6" t="s">
        <v>12</v>
      </c>
      <c r="F6" t="s">
        <v>25</v>
      </c>
      <c r="G6">
        <v>2</v>
      </c>
      <c r="H6" s="32">
        <v>127.005</v>
      </c>
      <c r="I6" s="33">
        <v>0</v>
      </c>
      <c r="J6" t="s">
        <v>33</v>
      </c>
      <c r="K6" t="s">
        <v>82</v>
      </c>
      <c r="L6" t="s">
        <v>38</v>
      </c>
      <c r="M6" t="s">
        <v>96</v>
      </c>
      <c r="N6" s="32">
        <v>254.01</v>
      </c>
    </row>
    <row r="7" spans="1:16" x14ac:dyDescent="0.3">
      <c r="A7" t="s">
        <v>97</v>
      </c>
      <c r="B7" s="8">
        <v>45852</v>
      </c>
      <c r="C7" t="s">
        <v>99</v>
      </c>
      <c r="D7" t="s">
        <v>17</v>
      </c>
      <c r="E7" t="s">
        <v>12</v>
      </c>
      <c r="F7" t="s">
        <v>25</v>
      </c>
      <c r="G7">
        <v>3</v>
      </c>
      <c r="H7" s="32">
        <v>133.99</v>
      </c>
      <c r="I7" s="33">
        <v>20</v>
      </c>
      <c r="J7" t="s">
        <v>30</v>
      </c>
      <c r="K7" t="s">
        <v>82</v>
      </c>
      <c r="L7" t="s">
        <v>37</v>
      </c>
      <c r="M7" t="s">
        <v>100</v>
      </c>
      <c r="N7" s="32">
        <v>321.57600000000002</v>
      </c>
    </row>
    <row r="8" spans="1:16" x14ac:dyDescent="0.3">
      <c r="A8" t="s">
        <v>101</v>
      </c>
      <c r="B8" s="8">
        <v>45694</v>
      </c>
      <c r="C8" t="s">
        <v>103</v>
      </c>
      <c r="D8" t="s">
        <v>19</v>
      </c>
      <c r="E8" t="s">
        <v>7</v>
      </c>
      <c r="F8" t="s">
        <v>27</v>
      </c>
      <c r="G8">
        <v>1</v>
      </c>
      <c r="H8" s="32">
        <v>406.03</v>
      </c>
      <c r="I8" s="33">
        <v>15</v>
      </c>
      <c r="J8" t="s">
        <v>31</v>
      </c>
      <c r="K8" t="s">
        <v>82</v>
      </c>
      <c r="L8" t="s">
        <v>38</v>
      </c>
      <c r="M8" t="s">
        <v>104</v>
      </c>
      <c r="N8" s="32">
        <v>345.12549999999999</v>
      </c>
    </row>
    <row r="9" spans="1:16" x14ac:dyDescent="0.3">
      <c r="A9" t="s">
        <v>105</v>
      </c>
      <c r="B9" s="8">
        <v>45770</v>
      </c>
      <c r="C9" t="s">
        <v>107</v>
      </c>
      <c r="D9" t="s">
        <v>21</v>
      </c>
      <c r="E9" t="s">
        <v>6</v>
      </c>
      <c r="F9" t="s">
        <v>26</v>
      </c>
      <c r="G9">
        <v>1</v>
      </c>
      <c r="H9" s="32">
        <v>38</v>
      </c>
      <c r="I9" s="33">
        <v>20</v>
      </c>
      <c r="J9" t="s">
        <v>33</v>
      </c>
      <c r="K9" t="s">
        <v>87</v>
      </c>
      <c r="L9" t="s">
        <v>37</v>
      </c>
      <c r="M9" t="s">
        <v>108</v>
      </c>
      <c r="N9" s="32">
        <v>30.4</v>
      </c>
    </row>
    <row r="10" spans="1:16" x14ac:dyDescent="0.3">
      <c r="A10" t="s">
        <v>109</v>
      </c>
      <c r="B10" s="8">
        <v>45819</v>
      </c>
      <c r="C10" t="s">
        <v>99</v>
      </c>
      <c r="D10" t="s">
        <v>18</v>
      </c>
      <c r="E10" t="s">
        <v>14</v>
      </c>
      <c r="F10" t="s">
        <v>28</v>
      </c>
      <c r="G10">
        <v>1</v>
      </c>
      <c r="H10" s="32">
        <v>62.06</v>
      </c>
      <c r="I10" s="33">
        <v>15</v>
      </c>
      <c r="J10" t="s">
        <v>32</v>
      </c>
      <c r="K10" t="s">
        <v>82</v>
      </c>
      <c r="L10" t="s">
        <v>37</v>
      </c>
      <c r="M10" t="s">
        <v>111</v>
      </c>
      <c r="N10" s="32">
        <v>52.750999999999998</v>
      </c>
    </row>
    <row r="11" spans="1:16" x14ac:dyDescent="0.3">
      <c r="A11" t="s">
        <v>112</v>
      </c>
      <c r="B11" s="8">
        <v>45792</v>
      </c>
      <c r="C11" t="s">
        <v>114</v>
      </c>
      <c r="D11" t="s">
        <v>19</v>
      </c>
      <c r="E11" t="s">
        <v>8</v>
      </c>
      <c r="F11" t="s">
        <v>25</v>
      </c>
      <c r="G11">
        <v>1</v>
      </c>
      <c r="H11" s="32">
        <v>676.22</v>
      </c>
      <c r="I11" s="33">
        <v>5</v>
      </c>
      <c r="J11" t="s">
        <v>30</v>
      </c>
      <c r="K11" t="s">
        <v>82</v>
      </c>
      <c r="L11" t="s">
        <v>38</v>
      </c>
      <c r="M11" t="s">
        <v>115</v>
      </c>
      <c r="N11" s="32">
        <v>642.40899999999999</v>
      </c>
    </row>
    <row r="12" spans="1:16" x14ac:dyDescent="0.3">
      <c r="A12" t="s">
        <v>116</v>
      </c>
      <c r="B12" s="8">
        <v>45714</v>
      </c>
      <c r="C12" t="s">
        <v>103</v>
      </c>
      <c r="D12" t="s">
        <v>22</v>
      </c>
      <c r="E12" t="s">
        <v>13</v>
      </c>
      <c r="F12" t="s">
        <v>28</v>
      </c>
      <c r="G12">
        <v>2</v>
      </c>
      <c r="H12" s="32">
        <v>98.01</v>
      </c>
      <c r="I12" s="33">
        <v>5</v>
      </c>
      <c r="J12" t="s">
        <v>33</v>
      </c>
      <c r="K12" t="s">
        <v>77</v>
      </c>
      <c r="L12" t="s">
        <v>37</v>
      </c>
      <c r="M12" t="s">
        <v>118</v>
      </c>
      <c r="N12" s="32">
        <v>186.21899999999999</v>
      </c>
    </row>
    <row r="13" spans="1:16" x14ac:dyDescent="0.3">
      <c r="A13" t="s">
        <v>119</v>
      </c>
      <c r="B13" s="8">
        <v>45663</v>
      </c>
      <c r="C13" t="s">
        <v>121</v>
      </c>
      <c r="D13" t="s">
        <v>16</v>
      </c>
      <c r="E13" t="s">
        <v>5</v>
      </c>
      <c r="F13" t="s">
        <v>25</v>
      </c>
      <c r="G13">
        <v>5</v>
      </c>
      <c r="H13" s="32">
        <v>980.66</v>
      </c>
      <c r="I13" s="33">
        <v>20</v>
      </c>
      <c r="J13" t="s">
        <v>30</v>
      </c>
      <c r="K13" t="s">
        <v>92</v>
      </c>
      <c r="L13" t="s">
        <v>37</v>
      </c>
      <c r="M13" t="s">
        <v>122</v>
      </c>
      <c r="N13" s="32">
        <v>3922.64</v>
      </c>
    </row>
    <row r="14" spans="1:16" x14ac:dyDescent="0.3">
      <c r="A14" t="s">
        <v>123</v>
      </c>
      <c r="B14" s="8">
        <v>45792</v>
      </c>
      <c r="C14" t="s">
        <v>103</v>
      </c>
      <c r="D14" t="s">
        <v>19</v>
      </c>
      <c r="E14" t="s">
        <v>6</v>
      </c>
      <c r="F14" t="s">
        <v>26</v>
      </c>
      <c r="G14">
        <v>1</v>
      </c>
      <c r="H14" s="32">
        <v>702.63</v>
      </c>
      <c r="I14" s="33">
        <v>0</v>
      </c>
      <c r="J14" t="s">
        <v>30</v>
      </c>
      <c r="K14" t="s">
        <v>82</v>
      </c>
      <c r="L14" t="s">
        <v>38</v>
      </c>
      <c r="M14" t="s">
        <v>124</v>
      </c>
      <c r="N14" s="32">
        <v>702.63</v>
      </c>
    </row>
    <row r="15" spans="1:16" x14ac:dyDescent="0.3">
      <c r="A15" t="s">
        <v>125</v>
      </c>
      <c r="B15" s="8">
        <v>45929</v>
      </c>
      <c r="C15" t="s">
        <v>127</v>
      </c>
      <c r="D15" t="s">
        <v>16</v>
      </c>
      <c r="E15" t="s">
        <v>7</v>
      </c>
      <c r="F15" t="s">
        <v>27</v>
      </c>
      <c r="G15">
        <v>3</v>
      </c>
      <c r="H15" s="32">
        <v>434.63</v>
      </c>
      <c r="I15" s="33">
        <v>5</v>
      </c>
      <c r="J15" t="s">
        <v>33</v>
      </c>
      <c r="K15" t="s">
        <v>92</v>
      </c>
      <c r="L15" t="s">
        <v>37</v>
      </c>
      <c r="M15" t="s">
        <v>128</v>
      </c>
      <c r="N15" s="32">
        <v>1238.6955</v>
      </c>
    </row>
    <row r="16" spans="1:16" x14ac:dyDescent="0.3">
      <c r="A16" t="s">
        <v>129</v>
      </c>
      <c r="B16" s="8">
        <v>45698</v>
      </c>
      <c r="C16" t="s">
        <v>99</v>
      </c>
      <c r="D16" t="s">
        <v>20</v>
      </c>
      <c r="E16" t="s">
        <v>14</v>
      </c>
      <c r="F16" t="s">
        <v>28</v>
      </c>
      <c r="G16">
        <v>1</v>
      </c>
      <c r="H16" s="32">
        <v>52.81</v>
      </c>
      <c r="I16" s="33">
        <v>20</v>
      </c>
      <c r="J16" t="s">
        <v>31</v>
      </c>
      <c r="K16" t="s">
        <v>82</v>
      </c>
      <c r="L16" t="s">
        <v>37</v>
      </c>
      <c r="M16" t="s">
        <v>131</v>
      </c>
      <c r="N16" s="32">
        <v>42.247999999999998</v>
      </c>
    </row>
    <row r="17" spans="1:14" x14ac:dyDescent="0.3">
      <c r="A17" t="s">
        <v>132</v>
      </c>
      <c r="B17" s="8">
        <v>45874</v>
      </c>
      <c r="C17" t="s">
        <v>121</v>
      </c>
      <c r="D17" t="s">
        <v>17</v>
      </c>
      <c r="E17" t="s">
        <v>13</v>
      </c>
      <c r="F17" t="s">
        <v>28</v>
      </c>
      <c r="G17">
        <v>1</v>
      </c>
      <c r="H17" s="32">
        <v>92.87</v>
      </c>
      <c r="I17" s="33">
        <v>15</v>
      </c>
      <c r="J17" t="s">
        <v>31</v>
      </c>
      <c r="K17" t="s">
        <v>87</v>
      </c>
      <c r="L17" t="s">
        <v>37</v>
      </c>
      <c r="M17" t="s">
        <v>108</v>
      </c>
      <c r="N17" s="32">
        <v>78.939499999999995</v>
      </c>
    </row>
    <row r="18" spans="1:14" x14ac:dyDescent="0.3">
      <c r="A18" t="s">
        <v>134</v>
      </c>
      <c r="B18" s="8">
        <v>45719</v>
      </c>
      <c r="C18" t="s">
        <v>81</v>
      </c>
      <c r="D18" t="s">
        <v>20</v>
      </c>
      <c r="E18" t="s">
        <v>7</v>
      </c>
      <c r="F18" t="s">
        <v>27</v>
      </c>
      <c r="G18">
        <v>1</v>
      </c>
      <c r="H18" s="32">
        <v>432.35</v>
      </c>
      <c r="I18" s="33">
        <v>0</v>
      </c>
      <c r="J18" t="s">
        <v>33</v>
      </c>
      <c r="K18" t="s">
        <v>82</v>
      </c>
      <c r="L18" t="s">
        <v>37</v>
      </c>
      <c r="M18" t="s">
        <v>136</v>
      </c>
      <c r="N18" s="32">
        <v>432.35</v>
      </c>
    </row>
    <row r="19" spans="1:14" x14ac:dyDescent="0.3">
      <c r="A19" t="s">
        <v>137</v>
      </c>
      <c r="B19" s="8">
        <v>45775</v>
      </c>
      <c r="C19" t="s">
        <v>107</v>
      </c>
      <c r="D19" t="s">
        <v>16</v>
      </c>
      <c r="E19" t="s">
        <v>10</v>
      </c>
      <c r="F19" t="s">
        <v>25</v>
      </c>
      <c r="G19">
        <v>1</v>
      </c>
      <c r="H19" s="32">
        <v>370.22</v>
      </c>
      <c r="I19" s="33">
        <v>0</v>
      </c>
      <c r="J19" t="s">
        <v>31</v>
      </c>
      <c r="K19" t="s">
        <v>87</v>
      </c>
      <c r="L19" t="s">
        <v>37</v>
      </c>
      <c r="M19" t="s">
        <v>139</v>
      </c>
      <c r="N19" s="32">
        <v>370.22</v>
      </c>
    </row>
    <row r="20" spans="1:14" x14ac:dyDescent="0.3">
      <c r="A20" t="s">
        <v>140</v>
      </c>
      <c r="B20" s="8">
        <v>45900</v>
      </c>
      <c r="C20" t="s">
        <v>99</v>
      </c>
      <c r="D20" t="s">
        <v>18</v>
      </c>
      <c r="E20" t="s">
        <v>9</v>
      </c>
      <c r="F20" t="s">
        <v>27</v>
      </c>
      <c r="G20">
        <v>2</v>
      </c>
      <c r="H20" s="32">
        <v>194.55</v>
      </c>
      <c r="I20" s="33">
        <v>0</v>
      </c>
      <c r="J20" t="s">
        <v>33</v>
      </c>
      <c r="K20" t="s">
        <v>92</v>
      </c>
      <c r="L20" t="s">
        <v>37</v>
      </c>
      <c r="M20" t="s">
        <v>142</v>
      </c>
      <c r="N20" s="32">
        <v>389.1</v>
      </c>
    </row>
    <row r="21" spans="1:14" x14ac:dyDescent="0.3">
      <c r="A21" t="s">
        <v>143</v>
      </c>
      <c r="B21" s="8">
        <v>45685</v>
      </c>
      <c r="C21" t="s">
        <v>107</v>
      </c>
      <c r="D21" t="s">
        <v>18</v>
      </c>
      <c r="E21" t="s">
        <v>7</v>
      </c>
      <c r="F21" t="s">
        <v>27</v>
      </c>
      <c r="G21">
        <v>1</v>
      </c>
      <c r="H21" s="32">
        <v>427.04</v>
      </c>
      <c r="I21" s="33">
        <v>15</v>
      </c>
      <c r="J21" t="s">
        <v>30</v>
      </c>
      <c r="K21" t="s">
        <v>92</v>
      </c>
      <c r="L21" t="s">
        <v>37</v>
      </c>
      <c r="M21" t="s">
        <v>22</v>
      </c>
      <c r="N21" s="32">
        <v>362.98399999999998</v>
      </c>
    </row>
    <row r="22" spans="1:14" x14ac:dyDescent="0.3">
      <c r="A22" t="s">
        <v>145</v>
      </c>
      <c r="B22" s="8">
        <v>45874</v>
      </c>
      <c r="C22" t="s">
        <v>91</v>
      </c>
      <c r="D22" t="s">
        <v>18</v>
      </c>
      <c r="E22" t="s">
        <v>9</v>
      </c>
      <c r="F22" t="s">
        <v>27</v>
      </c>
      <c r="G22">
        <v>1</v>
      </c>
      <c r="H22" s="32">
        <v>182.19</v>
      </c>
      <c r="I22" s="33">
        <v>0</v>
      </c>
      <c r="J22" t="s">
        <v>31</v>
      </c>
      <c r="K22" t="s">
        <v>77</v>
      </c>
      <c r="L22" t="s">
        <v>37</v>
      </c>
      <c r="M22" t="s">
        <v>147</v>
      </c>
      <c r="N22" s="32">
        <v>182.19</v>
      </c>
    </row>
    <row r="23" spans="1:14" x14ac:dyDescent="0.3">
      <c r="A23" t="s">
        <v>148</v>
      </c>
      <c r="B23" s="8">
        <v>45665</v>
      </c>
      <c r="C23" t="s">
        <v>81</v>
      </c>
      <c r="D23" t="s">
        <v>21</v>
      </c>
      <c r="E23" t="s">
        <v>10</v>
      </c>
      <c r="F23" t="s">
        <v>25</v>
      </c>
      <c r="G23">
        <v>2</v>
      </c>
      <c r="H23" s="32">
        <v>362.3</v>
      </c>
      <c r="I23" s="33">
        <v>5</v>
      </c>
      <c r="J23" t="s">
        <v>32</v>
      </c>
      <c r="K23" t="s">
        <v>77</v>
      </c>
      <c r="L23" t="s">
        <v>37</v>
      </c>
      <c r="M23" t="s">
        <v>150</v>
      </c>
      <c r="N23" s="32">
        <v>688.37</v>
      </c>
    </row>
    <row r="24" spans="1:14" x14ac:dyDescent="0.3">
      <c r="A24" t="s">
        <v>151</v>
      </c>
      <c r="B24" s="8">
        <v>45659</v>
      </c>
      <c r="C24" t="s">
        <v>91</v>
      </c>
      <c r="D24" t="s">
        <v>18</v>
      </c>
      <c r="E24" t="s">
        <v>6</v>
      </c>
      <c r="F24" t="s">
        <v>26</v>
      </c>
      <c r="G24">
        <v>4</v>
      </c>
      <c r="H24" s="32">
        <v>734.1</v>
      </c>
      <c r="I24" s="33">
        <v>0</v>
      </c>
      <c r="J24" t="s">
        <v>32</v>
      </c>
      <c r="K24" t="s">
        <v>77</v>
      </c>
      <c r="L24" t="s">
        <v>39</v>
      </c>
      <c r="M24" t="s">
        <v>124</v>
      </c>
      <c r="N24" s="32">
        <v>2936.4</v>
      </c>
    </row>
    <row r="25" spans="1:14" x14ac:dyDescent="0.3">
      <c r="A25" t="s">
        <v>153</v>
      </c>
      <c r="B25" s="8">
        <v>45689</v>
      </c>
      <c r="C25" t="s">
        <v>107</v>
      </c>
      <c r="D25" t="s">
        <v>20</v>
      </c>
      <c r="E25" t="s">
        <v>9</v>
      </c>
      <c r="F25" t="s">
        <v>27</v>
      </c>
      <c r="G25">
        <v>1</v>
      </c>
      <c r="H25" s="32">
        <v>205.59</v>
      </c>
      <c r="I25" s="33">
        <v>10</v>
      </c>
      <c r="J25" t="s">
        <v>32</v>
      </c>
      <c r="K25" t="s">
        <v>82</v>
      </c>
      <c r="L25" t="s">
        <v>37</v>
      </c>
      <c r="M25" t="s">
        <v>155</v>
      </c>
      <c r="N25" s="32">
        <v>185.03100000000001</v>
      </c>
    </row>
    <row r="26" spans="1:14" x14ac:dyDescent="0.3">
      <c r="A26" t="s">
        <v>156</v>
      </c>
      <c r="B26" s="8">
        <v>45692</v>
      </c>
      <c r="C26" t="s">
        <v>114</v>
      </c>
      <c r="D26" t="s">
        <v>22</v>
      </c>
      <c r="E26" t="s">
        <v>13</v>
      </c>
      <c r="F26" t="s">
        <v>28</v>
      </c>
      <c r="G26">
        <v>1</v>
      </c>
      <c r="H26" s="32">
        <v>85.18</v>
      </c>
      <c r="I26" s="33">
        <v>10</v>
      </c>
      <c r="J26" t="s">
        <v>31</v>
      </c>
      <c r="K26" t="s">
        <v>92</v>
      </c>
      <c r="L26" t="s">
        <v>37</v>
      </c>
      <c r="M26" t="s">
        <v>158</v>
      </c>
      <c r="N26" s="32">
        <v>76.662000000000006</v>
      </c>
    </row>
    <row r="27" spans="1:14" x14ac:dyDescent="0.3">
      <c r="A27" t="s">
        <v>159</v>
      </c>
      <c r="B27" s="8">
        <v>45892</v>
      </c>
      <c r="C27" t="s">
        <v>76</v>
      </c>
      <c r="D27" t="s">
        <v>20</v>
      </c>
      <c r="E27" t="s">
        <v>6</v>
      </c>
      <c r="F27" t="s">
        <v>26</v>
      </c>
      <c r="G27">
        <v>1</v>
      </c>
      <c r="H27" s="32">
        <v>827.87</v>
      </c>
      <c r="I27" s="33">
        <v>5</v>
      </c>
      <c r="J27" t="s">
        <v>33</v>
      </c>
      <c r="K27" t="s">
        <v>92</v>
      </c>
      <c r="L27" t="s">
        <v>37</v>
      </c>
      <c r="M27" t="s">
        <v>150</v>
      </c>
      <c r="N27" s="32">
        <v>786.47649999999999</v>
      </c>
    </row>
    <row r="28" spans="1:14" x14ac:dyDescent="0.3">
      <c r="A28" t="s">
        <v>161</v>
      </c>
      <c r="B28" s="8">
        <v>45693</v>
      </c>
      <c r="C28" t="s">
        <v>86</v>
      </c>
      <c r="D28" t="s">
        <v>16</v>
      </c>
      <c r="E28" t="s">
        <v>13</v>
      </c>
      <c r="F28" t="s">
        <v>28</v>
      </c>
      <c r="G28">
        <v>1</v>
      </c>
      <c r="H28" s="32">
        <v>102</v>
      </c>
      <c r="I28" s="33">
        <v>0</v>
      </c>
      <c r="J28" t="s">
        <v>32</v>
      </c>
      <c r="K28" t="s">
        <v>87</v>
      </c>
      <c r="L28" t="s">
        <v>37</v>
      </c>
      <c r="M28" t="s">
        <v>163</v>
      </c>
      <c r="N28" s="32">
        <v>102</v>
      </c>
    </row>
    <row r="29" spans="1:14" x14ac:dyDescent="0.3">
      <c r="A29" t="s">
        <v>164</v>
      </c>
      <c r="B29" s="8">
        <v>45726</v>
      </c>
      <c r="C29" t="s">
        <v>76</v>
      </c>
      <c r="D29" t="s">
        <v>20</v>
      </c>
      <c r="E29" t="s">
        <v>13</v>
      </c>
      <c r="F29" t="s">
        <v>28</v>
      </c>
      <c r="G29">
        <v>1</v>
      </c>
      <c r="H29" s="32">
        <v>95.93</v>
      </c>
      <c r="I29" s="33">
        <v>15</v>
      </c>
      <c r="J29" t="s">
        <v>31</v>
      </c>
      <c r="K29" t="s">
        <v>87</v>
      </c>
      <c r="L29" t="s">
        <v>37</v>
      </c>
      <c r="M29" t="s">
        <v>166</v>
      </c>
      <c r="N29" s="32">
        <v>81.540499999999994</v>
      </c>
    </row>
    <row r="30" spans="1:14" x14ac:dyDescent="0.3">
      <c r="A30" t="s">
        <v>167</v>
      </c>
      <c r="B30" s="8">
        <v>45793</v>
      </c>
      <c r="C30" t="s">
        <v>99</v>
      </c>
      <c r="D30" t="s">
        <v>16</v>
      </c>
      <c r="E30" t="s">
        <v>5</v>
      </c>
      <c r="F30" t="s">
        <v>25</v>
      </c>
      <c r="G30">
        <v>1</v>
      </c>
      <c r="H30" s="32">
        <v>936.43</v>
      </c>
      <c r="I30" s="33">
        <v>20</v>
      </c>
      <c r="J30" t="s">
        <v>33</v>
      </c>
      <c r="K30" t="s">
        <v>92</v>
      </c>
      <c r="L30" t="s">
        <v>38</v>
      </c>
      <c r="M30" t="s">
        <v>169</v>
      </c>
      <c r="N30" s="32">
        <v>749.14400000000001</v>
      </c>
    </row>
    <row r="31" spans="1:14" x14ac:dyDescent="0.3">
      <c r="A31" t="s">
        <v>170</v>
      </c>
      <c r="B31" s="8">
        <v>45724</v>
      </c>
      <c r="C31" t="s">
        <v>103</v>
      </c>
      <c r="D31" t="s">
        <v>17</v>
      </c>
      <c r="E31" t="s">
        <v>14</v>
      </c>
      <c r="F31" t="s">
        <v>28</v>
      </c>
      <c r="G31">
        <v>1</v>
      </c>
      <c r="H31" s="32">
        <v>54.09</v>
      </c>
      <c r="I31" s="33">
        <v>5</v>
      </c>
      <c r="J31" t="s">
        <v>32</v>
      </c>
      <c r="K31" t="s">
        <v>92</v>
      </c>
      <c r="L31" t="s">
        <v>37</v>
      </c>
      <c r="M31" t="s">
        <v>172</v>
      </c>
      <c r="N31" s="32">
        <v>51.3855</v>
      </c>
    </row>
    <row r="32" spans="1:14" x14ac:dyDescent="0.3">
      <c r="A32" t="s">
        <v>173</v>
      </c>
      <c r="B32" s="8">
        <v>45734</v>
      </c>
      <c r="C32" t="s">
        <v>107</v>
      </c>
      <c r="D32" t="s">
        <v>16</v>
      </c>
      <c r="E32" t="s">
        <v>12</v>
      </c>
      <c r="F32" t="s">
        <v>25</v>
      </c>
      <c r="G32">
        <v>4</v>
      </c>
      <c r="H32" s="32">
        <v>128.72999999999999</v>
      </c>
      <c r="I32" s="33">
        <v>10</v>
      </c>
      <c r="J32" t="s">
        <v>31</v>
      </c>
      <c r="K32" t="s">
        <v>77</v>
      </c>
      <c r="L32" t="s">
        <v>38</v>
      </c>
      <c r="M32" t="s">
        <v>175</v>
      </c>
      <c r="N32" s="32">
        <v>463.428</v>
      </c>
    </row>
    <row r="33" spans="1:14" x14ac:dyDescent="0.3">
      <c r="A33" t="s">
        <v>176</v>
      </c>
      <c r="B33" s="8">
        <v>45678</v>
      </c>
      <c r="C33" t="s">
        <v>81</v>
      </c>
      <c r="D33" t="s">
        <v>17</v>
      </c>
      <c r="E33" t="s">
        <v>10</v>
      </c>
      <c r="F33" t="s">
        <v>25</v>
      </c>
      <c r="G33">
        <v>1</v>
      </c>
      <c r="H33" s="32">
        <v>393.66</v>
      </c>
      <c r="I33" s="33">
        <v>0</v>
      </c>
      <c r="J33" t="s">
        <v>33</v>
      </c>
      <c r="K33" t="s">
        <v>87</v>
      </c>
      <c r="L33" t="s">
        <v>37</v>
      </c>
      <c r="M33" t="s">
        <v>178</v>
      </c>
      <c r="N33" s="32">
        <v>393.66</v>
      </c>
    </row>
    <row r="34" spans="1:14" x14ac:dyDescent="0.3">
      <c r="A34" t="s">
        <v>179</v>
      </c>
      <c r="B34" s="8">
        <v>45779</v>
      </c>
      <c r="C34" t="s">
        <v>103</v>
      </c>
      <c r="D34" t="s">
        <v>18</v>
      </c>
      <c r="E34" t="s">
        <v>5</v>
      </c>
      <c r="F34" t="s">
        <v>25</v>
      </c>
      <c r="G34">
        <v>2</v>
      </c>
      <c r="H34" s="32">
        <v>1074.8699999999999</v>
      </c>
      <c r="I34" s="33">
        <v>0</v>
      </c>
      <c r="J34" t="s">
        <v>31</v>
      </c>
      <c r="K34" t="s">
        <v>87</v>
      </c>
      <c r="L34" t="s">
        <v>37</v>
      </c>
      <c r="M34" t="s">
        <v>181</v>
      </c>
      <c r="N34" s="32">
        <v>2149.7399999999998</v>
      </c>
    </row>
    <row r="35" spans="1:14" x14ac:dyDescent="0.3">
      <c r="A35" t="s">
        <v>182</v>
      </c>
      <c r="B35" s="8">
        <v>45713</v>
      </c>
      <c r="C35" t="s">
        <v>107</v>
      </c>
      <c r="D35" t="s">
        <v>18</v>
      </c>
      <c r="E35" t="s">
        <v>9</v>
      </c>
      <c r="F35" t="s">
        <v>27</v>
      </c>
      <c r="G35">
        <v>1</v>
      </c>
      <c r="H35" s="32">
        <v>197.43</v>
      </c>
      <c r="I35" s="33">
        <v>0</v>
      </c>
      <c r="J35" t="s">
        <v>31</v>
      </c>
      <c r="K35" t="s">
        <v>77</v>
      </c>
      <c r="L35" t="s">
        <v>39</v>
      </c>
      <c r="M35" t="s">
        <v>184</v>
      </c>
      <c r="N35" s="32">
        <v>197.43</v>
      </c>
    </row>
    <row r="36" spans="1:14" x14ac:dyDescent="0.3">
      <c r="A36" t="s">
        <v>185</v>
      </c>
      <c r="B36" s="8">
        <v>45772</v>
      </c>
      <c r="C36" t="s">
        <v>81</v>
      </c>
      <c r="D36" t="s">
        <v>18</v>
      </c>
      <c r="E36" t="s">
        <v>14</v>
      </c>
      <c r="F36" t="s">
        <v>28</v>
      </c>
      <c r="G36">
        <v>3</v>
      </c>
      <c r="H36" s="32">
        <v>61.48</v>
      </c>
      <c r="I36" s="33">
        <v>0</v>
      </c>
      <c r="J36" t="s">
        <v>30</v>
      </c>
      <c r="K36" t="s">
        <v>92</v>
      </c>
      <c r="L36" t="s">
        <v>37</v>
      </c>
      <c r="M36" t="s">
        <v>186</v>
      </c>
      <c r="N36" s="32">
        <v>184.44</v>
      </c>
    </row>
    <row r="37" spans="1:14" x14ac:dyDescent="0.3">
      <c r="A37" t="s">
        <v>187</v>
      </c>
      <c r="B37" s="8">
        <v>45827</v>
      </c>
      <c r="C37" t="s">
        <v>76</v>
      </c>
      <c r="D37" t="s">
        <v>16</v>
      </c>
      <c r="E37" t="s">
        <v>7</v>
      </c>
      <c r="F37" t="s">
        <v>27</v>
      </c>
      <c r="G37">
        <v>2</v>
      </c>
      <c r="H37" s="32">
        <v>419.97</v>
      </c>
      <c r="I37" s="33">
        <v>0</v>
      </c>
      <c r="J37" t="s">
        <v>30</v>
      </c>
      <c r="K37" t="s">
        <v>92</v>
      </c>
      <c r="L37" t="s">
        <v>37</v>
      </c>
      <c r="M37" t="s">
        <v>189</v>
      </c>
      <c r="N37" s="32">
        <v>839.94</v>
      </c>
    </row>
    <row r="38" spans="1:14" x14ac:dyDescent="0.3">
      <c r="A38" t="s">
        <v>190</v>
      </c>
      <c r="B38" s="8">
        <v>45818</v>
      </c>
      <c r="C38" t="s">
        <v>127</v>
      </c>
      <c r="D38" t="s">
        <v>19</v>
      </c>
      <c r="E38" t="s">
        <v>5</v>
      </c>
      <c r="F38" t="s">
        <v>25</v>
      </c>
      <c r="G38">
        <v>1</v>
      </c>
      <c r="H38" s="32">
        <v>1028.03</v>
      </c>
      <c r="I38" s="33">
        <v>0</v>
      </c>
      <c r="J38" t="s">
        <v>32</v>
      </c>
      <c r="K38" t="s">
        <v>82</v>
      </c>
      <c r="L38" t="s">
        <v>39</v>
      </c>
      <c r="M38" t="s">
        <v>192</v>
      </c>
      <c r="N38" s="32">
        <v>1028.03</v>
      </c>
    </row>
    <row r="39" spans="1:14" x14ac:dyDescent="0.3">
      <c r="A39" t="s">
        <v>193</v>
      </c>
      <c r="B39" s="8">
        <v>45758</v>
      </c>
      <c r="C39" t="s">
        <v>114</v>
      </c>
      <c r="D39" t="s">
        <v>20</v>
      </c>
      <c r="E39" t="s">
        <v>10</v>
      </c>
      <c r="F39" t="s">
        <v>25</v>
      </c>
      <c r="G39">
        <v>2</v>
      </c>
      <c r="H39" s="32">
        <v>315.14999999999998</v>
      </c>
      <c r="I39" s="33">
        <v>15</v>
      </c>
      <c r="J39" t="s">
        <v>30</v>
      </c>
      <c r="K39" t="s">
        <v>87</v>
      </c>
      <c r="L39" t="s">
        <v>37</v>
      </c>
      <c r="M39" t="s">
        <v>195</v>
      </c>
      <c r="N39" s="32">
        <v>535.755</v>
      </c>
    </row>
    <row r="40" spans="1:14" x14ac:dyDescent="0.3">
      <c r="A40" t="s">
        <v>196</v>
      </c>
      <c r="B40" s="8">
        <v>45825</v>
      </c>
      <c r="C40" t="s">
        <v>91</v>
      </c>
      <c r="D40" t="s">
        <v>19</v>
      </c>
      <c r="E40" t="s">
        <v>14</v>
      </c>
      <c r="F40" t="s">
        <v>28</v>
      </c>
      <c r="G40">
        <v>2</v>
      </c>
      <c r="H40" s="32">
        <v>58.67</v>
      </c>
      <c r="I40" s="33">
        <v>0</v>
      </c>
      <c r="J40" t="s">
        <v>31</v>
      </c>
      <c r="K40" t="s">
        <v>77</v>
      </c>
      <c r="L40" t="s">
        <v>39</v>
      </c>
      <c r="M40" t="s">
        <v>118</v>
      </c>
      <c r="N40" s="32">
        <v>117.34</v>
      </c>
    </row>
    <row r="41" spans="1:14" x14ac:dyDescent="0.3">
      <c r="A41" t="s">
        <v>198</v>
      </c>
      <c r="B41" s="8">
        <v>45658</v>
      </c>
      <c r="C41" t="s">
        <v>91</v>
      </c>
      <c r="D41" t="s">
        <v>21</v>
      </c>
      <c r="E41" t="s">
        <v>8</v>
      </c>
      <c r="F41" t="s">
        <v>25</v>
      </c>
      <c r="G41">
        <v>2</v>
      </c>
      <c r="H41" s="32">
        <v>633.9</v>
      </c>
      <c r="I41" s="33">
        <v>5</v>
      </c>
      <c r="J41" t="s">
        <v>30</v>
      </c>
      <c r="K41" t="s">
        <v>77</v>
      </c>
      <c r="L41" t="s">
        <v>37</v>
      </c>
      <c r="M41" t="s">
        <v>200</v>
      </c>
      <c r="N41" s="32">
        <v>1204.4100000000001</v>
      </c>
    </row>
    <row r="42" spans="1:14" x14ac:dyDescent="0.3">
      <c r="A42" t="s">
        <v>201</v>
      </c>
      <c r="B42" s="8">
        <v>45744</v>
      </c>
      <c r="C42" t="s">
        <v>91</v>
      </c>
      <c r="D42" t="s">
        <v>19</v>
      </c>
      <c r="E42" t="s">
        <v>11</v>
      </c>
      <c r="F42" t="s">
        <v>26</v>
      </c>
      <c r="G42">
        <v>2</v>
      </c>
      <c r="H42" s="32">
        <v>154.16999999999999</v>
      </c>
      <c r="I42" s="33">
        <v>15</v>
      </c>
      <c r="J42" t="s">
        <v>30</v>
      </c>
      <c r="K42" t="s">
        <v>92</v>
      </c>
      <c r="L42" t="s">
        <v>37</v>
      </c>
      <c r="M42" t="s">
        <v>203</v>
      </c>
      <c r="N42" s="32">
        <v>262.089</v>
      </c>
    </row>
    <row r="43" spans="1:14" x14ac:dyDescent="0.3">
      <c r="A43" t="s">
        <v>204</v>
      </c>
      <c r="B43" s="8">
        <v>45670</v>
      </c>
      <c r="C43" t="s">
        <v>81</v>
      </c>
      <c r="D43" t="s">
        <v>18</v>
      </c>
      <c r="E43" t="s">
        <v>14</v>
      </c>
      <c r="F43" t="s">
        <v>28</v>
      </c>
      <c r="G43">
        <v>1</v>
      </c>
      <c r="H43" s="32">
        <v>52.24</v>
      </c>
      <c r="I43" s="33">
        <v>10</v>
      </c>
      <c r="J43" t="s">
        <v>33</v>
      </c>
      <c r="K43" t="s">
        <v>77</v>
      </c>
      <c r="L43" t="s">
        <v>37</v>
      </c>
      <c r="M43" t="s">
        <v>206</v>
      </c>
      <c r="N43" s="32">
        <v>47.015999999999998</v>
      </c>
    </row>
    <row r="44" spans="1:14" x14ac:dyDescent="0.3">
      <c r="A44" t="s">
        <v>207</v>
      </c>
      <c r="B44" s="8">
        <v>45911</v>
      </c>
      <c r="C44" t="s">
        <v>81</v>
      </c>
      <c r="D44" t="s">
        <v>21</v>
      </c>
      <c r="E44" t="s">
        <v>5</v>
      </c>
      <c r="F44" t="s">
        <v>25</v>
      </c>
      <c r="G44">
        <v>1</v>
      </c>
      <c r="H44" s="32">
        <v>1020.38</v>
      </c>
      <c r="I44" s="33">
        <v>15</v>
      </c>
      <c r="J44" t="s">
        <v>33</v>
      </c>
      <c r="K44" t="s">
        <v>92</v>
      </c>
      <c r="L44" t="s">
        <v>39</v>
      </c>
      <c r="M44" t="s">
        <v>169</v>
      </c>
      <c r="N44" s="32">
        <v>867.32299999999998</v>
      </c>
    </row>
    <row r="45" spans="1:14" x14ac:dyDescent="0.3">
      <c r="A45" t="s">
        <v>209</v>
      </c>
      <c r="B45" s="8">
        <v>45923</v>
      </c>
      <c r="C45" t="s">
        <v>107</v>
      </c>
      <c r="D45" t="s">
        <v>19</v>
      </c>
      <c r="E45" t="s">
        <v>9</v>
      </c>
      <c r="F45" t="s">
        <v>27</v>
      </c>
      <c r="G45">
        <v>1</v>
      </c>
      <c r="H45" s="32">
        <v>205.11</v>
      </c>
      <c r="I45" s="33">
        <v>0</v>
      </c>
      <c r="J45" t="s">
        <v>33</v>
      </c>
      <c r="K45" t="s">
        <v>77</v>
      </c>
      <c r="L45" t="s">
        <v>39</v>
      </c>
      <c r="M45" t="s">
        <v>211</v>
      </c>
      <c r="N45" s="32">
        <v>205.11</v>
      </c>
    </row>
    <row r="46" spans="1:14" x14ac:dyDescent="0.3">
      <c r="A46" t="s">
        <v>212</v>
      </c>
      <c r="B46" s="8">
        <v>45820</v>
      </c>
      <c r="C46" t="s">
        <v>127</v>
      </c>
      <c r="D46" t="s">
        <v>17</v>
      </c>
      <c r="E46" t="s">
        <v>11</v>
      </c>
      <c r="F46" t="s">
        <v>26</v>
      </c>
      <c r="G46">
        <v>2</v>
      </c>
      <c r="H46" s="32">
        <v>172.05</v>
      </c>
      <c r="I46" s="33">
        <v>10</v>
      </c>
      <c r="J46" t="s">
        <v>32</v>
      </c>
      <c r="K46" t="s">
        <v>77</v>
      </c>
      <c r="L46" t="s">
        <v>39</v>
      </c>
      <c r="M46" t="s">
        <v>214</v>
      </c>
      <c r="N46" s="32">
        <v>309.69</v>
      </c>
    </row>
    <row r="47" spans="1:14" x14ac:dyDescent="0.3">
      <c r="A47" t="s">
        <v>215</v>
      </c>
      <c r="B47" s="8">
        <v>45799</v>
      </c>
      <c r="C47" t="s">
        <v>99</v>
      </c>
      <c r="D47" t="s">
        <v>17</v>
      </c>
      <c r="E47" t="s">
        <v>11</v>
      </c>
      <c r="F47" t="s">
        <v>26</v>
      </c>
      <c r="G47">
        <v>1</v>
      </c>
      <c r="H47" s="32">
        <v>163.19</v>
      </c>
      <c r="I47" s="33">
        <v>0</v>
      </c>
      <c r="J47" t="s">
        <v>30</v>
      </c>
      <c r="K47" t="s">
        <v>77</v>
      </c>
      <c r="L47" t="s">
        <v>38</v>
      </c>
      <c r="M47" t="s">
        <v>217</v>
      </c>
      <c r="N47" s="32">
        <v>163.19</v>
      </c>
    </row>
    <row r="48" spans="1:14" x14ac:dyDescent="0.3">
      <c r="A48" t="s">
        <v>218</v>
      </c>
      <c r="B48" s="8">
        <v>45699</v>
      </c>
      <c r="C48" t="s">
        <v>103</v>
      </c>
      <c r="D48" t="s">
        <v>21</v>
      </c>
      <c r="E48" t="s">
        <v>14</v>
      </c>
      <c r="F48" t="s">
        <v>28</v>
      </c>
      <c r="G48">
        <v>1</v>
      </c>
      <c r="H48" s="32">
        <v>54.12</v>
      </c>
      <c r="I48" s="33">
        <v>5</v>
      </c>
      <c r="J48" t="s">
        <v>31</v>
      </c>
      <c r="K48" t="s">
        <v>82</v>
      </c>
      <c r="L48" t="s">
        <v>37</v>
      </c>
      <c r="M48" t="s">
        <v>220</v>
      </c>
      <c r="N48" s="32">
        <v>51.414000000000001</v>
      </c>
    </row>
    <row r="49" spans="1:14" x14ac:dyDescent="0.3">
      <c r="A49" t="s">
        <v>221</v>
      </c>
      <c r="B49" s="8">
        <v>45870</v>
      </c>
      <c r="C49" t="s">
        <v>81</v>
      </c>
      <c r="D49" t="s">
        <v>18</v>
      </c>
      <c r="E49" t="s">
        <v>6</v>
      </c>
      <c r="F49" t="s">
        <v>26</v>
      </c>
      <c r="G49">
        <v>1</v>
      </c>
      <c r="H49" s="32">
        <v>807.81</v>
      </c>
      <c r="I49" s="33">
        <v>5</v>
      </c>
      <c r="J49" t="s">
        <v>33</v>
      </c>
      <c r="K49" t="s">
        <v>77</v>
      </c>
      <c r="L49" t="s">
        <v>37</v>
      </c>
      <c r="M49" t="s">
        <v>223</v>
      </c>
      <c r="N49" s="32">
        <v>767.41949999999997</v>
      </c>
    </row>
    <row r="50" spans="1:14" x14ac:dyDescent="0.3">
      <c r="A50" t="s">
        <v>224</v>
      </c>
      <c r="B50" s="8">
        <v>45857</v>
      </c>
      <c r="C50" t="s">
        <v>121</v>
      </c>
      <c r="D50" t="s">
        <v>17</v>
      </c>
      <c r="E50" t="s">
        <v>10</v>
      </c>
      <c r="F50" t="s">
        <v>25</v>
      </c>
      <c r="G50">
        <v>4</v>
      </c>
      <c r="H50" s="32">
        <v>341.13</v>
      </c>
      <c r="I50" s="33">
        <v>15</v>
      </c>
      <c r="J50" t="s">
        <v>31</v>
      </c>
      <c r="K50" t="s">
        <v>77</v>
      </c>
      <c r="L50" t="s">
        <v>39</v>
      </c>
      <c r="M50" t="s">
        <v>136</v>
      </c>
      <c r="N50" s="32">
        <v>1159.8420000000001</v>
      </c>
    </row>
    <row r="51" spans="1:14" x14ac:dyDescent="0.3">
      <c r="A51" t="s">
        <v>226</v>
      </c>
      <c r="B51" s="8">
        <v>45830</v>
      </c>
      <c r="C51" t="s">
        <v>103</v>
      </c>
      <c r="D51" t="s">
        <v>18</v>
      </c>
      <c r="E51" t="s">
        <v>14</v>
      </c>
      <c r="F51" t="s">
        <v>28</v>
      </c>
      <c r="G51">
        <v>1</v>
      </c>
      <c r="H51" s="32">
        <v>49.9</v>
      </c>
      <c r="I51" s="33">
        <v>0</v>
      </c>
      <c r="J51" t="s">
        <v>33</v>
      </c>
      <c r="K51" t="s">
        <v>77</v>
      </c>
      <c r="L51" t="s">
        <v>39</v>
      </c>
      <c r="M51" t="s">
        <v>228</v>
      </c>
      <c r="N51" s="32">
        <v>49.9</v>
      </c>
    </row>
    <row r="52" spans="1:14" x14ac:dyDescent="0.3">
      <c r="A52" t="s">
        <v>229</v>
      </c>
      <c r="B52" s="8">
        <v>45800</v>
      </c>
      <c r="C52" t="s">
        <v>91</v>
      </c>
      <c r="D52" t="s">
        <v>20</v>
      </c>
      <c r="E52" t="s">
        <v>7</v>
      </c>
      <c r="F52" t="s">
        <v>27</v>
      </c>
      <c r="G52">
        <v>1</v>
      </c>
      <c r="H52" s="32">
        <v>470.36</v>
      </c>
      <c r="I52" s="33">
        <v>5</v>
      </c>
      <c r="J52" t="s">
        <v>33</v>
      </c>
      <c r="K52" t="s">
        <v>92</v>
      </c>
      <c r="L52" t="s">
        <v>39</v>
      </c>
      <c r="M52" t="s">
        <v>184</v>
      </c>
      <c r="N52" s="32">
        <v>446.84199999999998</v>
      </c>
    </row>
    <row r="53" spans="1:14" x14ac:dyDescent="0.3">
      <c r="A53" t="s">
        <v>231</v>
      </c>
      <c r="B53" s="8">
        <v>45678</v>
      </c>
      <c r="C53" t="s">
        <v>81</v>
      </c>
      <c r="D53" t="s">
        <v>21</v>
      </c>
      <c r="E53" t="s">
        <v>9</v>
      </c>
      <c r="F53" t="s">
        <v>27</v>
      </c>
      <c r="G53">
        <v>2</v>
      </c>
      <c r="H53" s="32">
        <v>197.16</v>
      </c>
      <c r="I53" s="33">
        <v>20</v>
      </c>
      <c r="J53" t="s">
        <v>33</v>
      </c>
      <c r="K53" t="s">
        <v>82</v>
      </c>
      <c r="L53" t="s">
        <v>37</v>
      </c>
      <c r="M53" t="s">
        <v>232</v>
      </c>
      <c r="N53" s="32">
        <v>315.45600000000002</v>
      </c>
    </row>
    <row r="54" spans="1:14" x14ac:dyDescent="0.3">
      <c r="A54" t="s">
        <v>233</v>
      </c>
      <c r="B54" s="8">
        <v>45769</v>
      </c>
      <c r="C54" t="s">
        <v>91</v>
      </c>
      <c r="D54" t="s">
        <v>16</v>
      </c>
      <c r="E54" t="s">
        <v>8</v>
      </c>
      <c r="F54" t="s">
        <v>25</v>
      </c>
      <c r="G54">
        <v>1</v>
      </c>
      <c r="H54" s="32">
        <v>603.59</v>
      </c>
      <c r="I54" s="33">
        <v>0</v>
      </c>
      <c r="J54" t="s">
        <v>33</v>
      </c>
      <c r="K54" t="s">
        <v>82</v>
      </c>
      <c r="L54" t="s">
        <v>39</v>
      </c>
      <c r="M54" t="s">
        <v>235</v>
      </c>
      <c r="N54" s="32">
        <v>603.59</v>
      </c>
    </row>
    <row r="55" spans="1:14" x14ac:dyDescent="0.3">
      <c r="A55" t="s">
        <v>236</v>
      </c>
      <c r="B55" s="8">
        <v>45850</v>
      </c>
      <c r="C55" t="s">
        <v>81</v>
      </c>
      <c r="D55" t="s">
        <v>22</v>
      </c>
      <c r="E55" t="s">
        <v>12</v>
      </c>
      <c r="F55" t="s">
        <v>25</v>
      </c>
      <c r="G55">
        <v>2</v>
      </c>
      <c r="H55" s="32">
        <v>135.87</v>
      </c>
      <c r="I55" s="33">
        <v>10</v>
      </c>
      <c r="J55" t="s">
        <v>31</v>
      </c>
      <c r="K55" t="s">
        <v>92</v>
      </c>
      <c r="L55" t="s">
        <v>39</v>
      </c>
      <c r="M55" t="s">
        <v>238</v>
      </c>
      <c r="N55" s="32">
        <v>244.566</v>
      </c>
    </row>
    <row r="56" spans="1:14" x14ac:dyDescent="0.3">
      <c r="A56" t="s">
        <v>239</v>
      </c>
      <c r="B56" s="8">
        <v>45679</v>
      </c>
      <c r="C56" t="s">
        <v>121</v>
      </c>
      <c r="D56" t="s">
        <v>18</v>
      </c>
      <c r="E56" t="s">
        <v>5</v>
      </c>
      <c r="F56" t="s">
        <v>25</v>
      </c>
      <c r="G56">
        <v>3</v>
      </c>
      <c r="H56" s="32">
        <v>1044.0999999999999</v>
      </c>
      <c r="I56" s="33">
        <v>15</v>
      </c>
      <c r="J56" t="s">
        <v>30</v>
      </c>
      <c r="K56" t="s">
        <v>92</v>
      </c>
      <c r="L56" t="s">
        <v>37</v>
      </c>
      <c r="M56" t="s">
        <v>241</v>
      </c>
      <c r="N56" s="32">
        <v>2662.4549999999999</v>
      </c>
    </row>
    <row r="57" spans="1:14" x14ac:dyDescent="0.3">
      <c r="A57" t="s">
        <v>242</v>
      </c>
      <c r="B57" s="8">
        <v>45908</v>
      </c>
      <c r="C57" t="s">
        <v>114</v>
      </c>
      <c r="D57" t="s">
        <v>16</v>
      </c>
      <c r="E57" t="s">
        <v>7</v>
      </c>
      <c r="F57" t="s">
        <v>27</v>
      </c>
      <c r="G57">
        <v>1</v>
      </c>
      <c r="H57" s="32">
        <v>422.11</v>
      </c>
      <c r="I57" s="33">
        <v>15</v>
      </c>
      <c r="J57" t="s">
        <v>32</v>
      </c>
      <c r="K57" t="s">
        <v>82</v>
      </c>
      <c r="L57" t="s">
        <v>37</v>
      </c>
      <c r="M57" t="s">
        <v>244</v>
      </c>
      <c r="N57" s="32">
        <v>358.79349999999999</v>
      </c>
    </row>
    <row r="58" spans="1:14" x14ac:dyDescent="0.3">
      <c r="A58" t="s">
        <v>245</v>
      </c>
      <c r="B58" s="8">
        <v>45796</v>
      </c>
      <c r="C58" t="s">
        <v>121</v>
      </c>
      <c r="D58" t="s">
        <v>18</v>
      </c>
      <c r="E58" t="s">
        <v>8</v>
      </c>
      <c r="F58" t="s">
        <v>25</v>
      </c>
      <c r="G58">
        <v>2</v>
      </c>
      <c r="H58" s="32">
        <v>741.89</v>
      </c>
      <c r="I58" s="33">
        <v>5</v>
      </c>
      <c r="J58" t="s">
        <v>32</v>
      </c>
      <c r="K58" t="s">
        <v>87</v>
      </c>
      <c r="L58" t="s">
        <v>38</v>
      </c>
      <c r="M58" t="s">
        <v>247</v>
      </c>
      <c r="N58" s="32">
        <v>1409.5909999999999</v>
      </c>
    </row>
    <row r="59" spans="1:14" x14ac:dyDescent="0.3">
      <c r="A59" t="s">
        <v>248</v>
      </c>
      <c r="B59" s="8">
        <v>45766</v>
      </c>
      <c r="C59" t="s">
        <v>91</v>
      </c>
      <c r="D59" t="s">
        <v>16</v>
      </c>
      <c r="E59" t="s">
        <v>11</v>
      </c>
      <c r="F59" t="s">
        <v>26</v>
      </c>
      <c r="G59">
        <v>3</v>
      </c>
      <c r="H59" s="32">
        <v>141.82</v>
      </c>
      <c r="I59" s="33">
        <v>0</v>
      </c>
      <c r="J59" t="s">
        <v>30</v>
      </c>
      <c r="K59" t="s">
        <v>92</v>
      </c>
      <c r="L59" t="s">
        <v>37</v>
      </c>
      <c r="M59" t="s">
        <v>250</v>
      </c>
      <c r="N59" s="32">
        <v>425.46</v>
      </c>
    </row>
    <row r="60" spans="1:14" x14ac:dyDescent="0.3">
      <c r="A60" t="s">
        <v>251</v>
      </c>
      <c r="B60" s="8">
        <v>45781</v>
      </c>
      <c r="C60" t="s">
        <v>99</v>
      </c>
      <c r="D60" t="s">
        <v>18</v>
      </c>
      <c r="E60" t="s">
        <v>12</v>
      </c>
      <c r="F60" t="s">
        <v>25</v>
      </c>
      <c r="G60">
        <v>1</v>
      </c>
      <c r="H60" s="32">
        <v>120.19</v>
      </c>
      <c r="I60" s="33">
        <v>20</v>
      </c>
      <c r="J60" t="s">
        <v>33</v>
      </c>
      <c r="K60" t="s">
        <v>92</v>
      </c>
      <c r="L60" t="s">
        <v>39</v>
      </c>
      <c r="M60" t="s">
        <v>122</v>
      </c>
      <c r="N60" s="32">
        <v>96.152000000000001</v>
      </c>
    </row>
    <row r="61" spans="1:14" x14ac:dyDescent="0.3">
      <c r="A61" t="s">
        <v>253</v>
      </c>
      <c r="B61" s="8">
        <v>45846</v>
      </c>
      <c r="C61" t="s">
        <v>121</v>
      </c>
      <c r="D61" t="s">
        <v>19</v>
      </c>
      <c r="E61" t="s">
        <v>9</v>
      </c>
      <c r="F61" t="s">
        <v>27</v>
      </c>
      <c r="G61">
        <v>1</v>
      </c>
      <c r="H61" s="32">
        <v>172.95</v>
      </c>
      <c r="I61" s="33">
        <v>0</v>
      </c>
      <c r="J61" t="s">
        <v>32</v>
      </c>
      <c r="K61" t="s">
        <v>87</v>
      </c>
      <c r="L61" t="s">
        <v>39</v>
      </c>
      <c r="M61" t="s">
        <v>255</v>
      </c>
      <c r="N61" s="32">
        <v>172.95</v>
      </c>
    </row>
    <row r="62" spans="1:14" x14ac:dyDescent="0.3">
      <c r="A62" t="s">
        <v>256</v>
      </c>
      <c r="B62" s="8">
        <v>45926</v>
      </c>
      <c r="C62" t="s">
        <v>91</v>
      </c>
      <c r="D62" t="s">
        <v>20</v>
      </c>
      <c r="E62" t="s">
        <v>11</v>
      </c>
      <c r="F62" t="s">
        <v>26</v>
      </c>
      <c r="G62">
        <v>1</v>
      </c>
      <c r="H62" s="32">
        <v>157.11000000000001</v>
      </c>
      <c r="I62" s="33">
        <v>20</v>
      </c>
      <c r="J62" t="s">
        <v>31</v>
      </c>
      <c r="K62" t="s">
        <v>87</v>
      </c>
      <c r="L62" t="s">
        <v>38</v>
      </c>
      <c r="M62" t="s">
        <v>258</v>
      </c>
      <c r="N62" s="32">
        <v>125.688</v>
      </c>
    </row>
    <row r="63" spans="1:14" x14ac:dyDescent="0.3">
      <c r="A63" t="s">
        <v>259</v>
      </c>
      <c r="B63" s="8">
        <v>45931</v>
      </c>
      <c r="C63" t="s">
        <v>91</v>
      </c>
      <c r="D63" t="s">
        <v>20</v>
      </c>
      <c r="E63" t="s">
        <v>7</v>
      </c>
      <c r="F63" t="s">
        <v>27</v>
      </c>
      <c r="G63">
        <v>1</v>
      </c>
      <c r="H63" s="32">
        <v>379.49</v>
      </c>
      <c r="I63" s="33">
        <v>0</v>
      </c>
      <c r="J63" t="s">
        <v>30</v>
      </c>
      <c r="K63" t="s">
        <v>82</v>
      </c>
      <c r="L63" t="s">
        <v>37</v>
      </c>
      <c r="M63" t="s">
        <v>261</v>
      </c>
      <c r="N63" s="32">
        <v>379.49</v>
      </c>
    </row>
    <row r="64" spans="1:14" x14ac:dyDescent="0.3">
      <c r="A64" t="s">
        <v>262</v>
      </c>
      <c r="B64" s="8">
        <v>45898</v>
      </c>
      <c r="C64" t="s">
        <v>99</v>
      </c>
      <c r="D64" t="s">
        <v>16</v>
      </c>
      <c r="E64" t="s">
        <v>12</v>
      </c>
      <c r="F64" t="s">
        <v>25</v>
      </c>
      <c r="G64">
        <v>3</v>
      </c>
      <c r="H64" s="32">
        <v>125.22</v>
      </c>
      <c r="I64" s="33">
        <v>0</v>
      </c>
      <c r="J64" t="s">
        <v>33</v>
      </c>
      <c r="K64" t="s">
        <v>87</v>
      </c>
      <c r="L64" t="s">
        <v>39</v>
      </c>
      <c r="M64" t="s">
        <v>223</v>
      </c>
      <c r="N64" s="32">
        <v>375.66</v>
      </c>
    </row>
    <row r="65" spans="1:14" x14ac:dyDescent="0.3">
      <c r="A65" t="s">
        <v>264</v>
      </c>
      <c r="B65" s="8">
        <v>45695</v>
      </c>
      <c r="C65" t="s">
        <v>107</v>
      </c>
      <c r="D65" t="s">
        <v>21</v>
      </c>
      <c r="E65" t="s">
        <v>12</v>
      </c>
      <c r="F65" t="s">
        <v>25</v>
      </c>
      <c r="G65">
        <v>3</v>
      </c>
      <c r="H65" s="32">
        <v>120.02</v>
      </c>
      <c r="I65" s="33">
        <v>0</v>
      </c>
      <c r="J65" t="s">
        <v>30</v>
      </c>
      <c r="K65" t="s">
        <v>92</v>
      </c>
      <c r="L65" t="s">
        <v>38</v>
      </c>
      <c r="M65" t="s">
        <v>266</v>
      </c>
      <c r="N65" s="32">
        <v>360.06</v>
      </c>
    </row>
    <row r="66" spans="1:14" x14ac:dyDescent="0.3">
      <c r="A66" t="s">
        <v>267</v>
      </c>
      <c r="B66" s="8">
        <v>45773</v>
      </c>
      <c r="C66" t="s">
        <v>114</v>
      </c>
      <c r="D66" t="s">
        <v>18</v>
      </c>
      <c r="E66" t="s">
        <v>12</v>
      </c>
      <c r="F66" t="s">
        <v>25</v>
      </c>
      <c r="G66">
        <v>2</v>
      </c>
      <c r="H66" s="32">
        <v>120.49</v>
      </c>
      <c r="I66" s="33">
        <v>5</v>
      </c>
      <c r="J66" t="s">
        <v>30</v>
      </c>
      <c r="K66" t="s">
        <v>77</v>
      </c>
      <c r="L66" t="s">
        <v>38</v>
      </c>
      <c r="M66" t="s">
        <v>269</v>
      </c>
      <c r="N66" s="32">
        <v>228.93100000000001</v>
      </c>
    </row>
    <row r="67" spans="1:14" x14ac:dyDescent="0.3">
      <c r="A67" t="s">
        <v>270</v>
      </c>
      <c r="B67" s="8">
        <v>45708</v>
      </c>
      <c r="C67" t="s">
        <v>81</v>
      </c>
      <c r="D67" t="s">
        <v>16</v>
      </c>
      <c r="E67" t="s">
        <v>5</v>
      </c>
      <c r="F67" t="s">
        <v>25</v>
      </c>
      <c r="G67">
        <v>2</v>
      </c>
      <c r="H67" s="32">
        <v>999.79</v>
      </c>
      <c r="I67" s="33">
        <v>15</v>
      </c>
      <c r="J67" t="s">
        <v>33</v>
      </c>
      <c r="K67" t="s">
        <v>82</v>
      </c>
      <c r="L67" t="s">
        <v>37</v>
      </c>
      <c r="M67" t="s">
        <v>232</v>
      </c>
      <c r="N67" s="32">
        <v>1699.643</v>
      </c>
    </row>
    <row r="68" spans="1:14" x14ac:dyDescent="0.3">
      <c r="A68" t="s">
        <v>272</v>
      </c>
      <c r="B68" s="8" t="s">
        <v>273</v>
      </c>
      <c r="C68" t="s">
        <v>127</v>
      </c>
      <c r="D68" t="s">
        <v>18</v>
      </c>
      <c r="E68" t="s">
        <v>8</v>
      </c>
      <c r="F68" t="s">
        <v>25</v>
      </c>
      <c r="G68">
        <v>2</v>
      </c>
      <c r="H68" s="32">
        <v>610.44000000000005</v>
      </c>
      <c r="I68" s="33">
        <v>0</v>
      </c>
      <c r="J68" t="s">
        <v>33</v>
      </c>
      <c r="K68" t="s">
        <v>82</v>
      </c>
      <c r="L68" t="s">
        <v>39</v>
      </c>
      <c r="M68" t="s">
        <v>274</v>
      </c>
      <c r="N68" s="32">
        <v>1220.8800000000001</v>
      </c>
    </row>
    <row r="69" spans="1:14" x14ac:dyDescent="0.3">
      <c r="A69" t="s">
        <v>275</v>
      </c>
      <c r="B69" s="8">
        <v>45777</v>
      </c>
      <c r="C69" t="s">
        <v>127</v>
      </c>
      <c r="D69" t="s">
        <v>17</v>
      </c>
      <c r="E69" t="s">
        <v>14</v>
      </c>
      <c r="F69" t="s">
        <v>28</v>
      </c>
      <c r="G69">
        <v>2</v>
      </c>
      <c r="H69" s="32">
        <v>55.74</v>
      </c>
      <c r="I69" s="33">
        <v>20</v>
      </c>
      <c r="J69" t="s">
        <v>31</v>
      </c>
      <c r="K69" t="s">
        <v>77</v>
      </c>
      <c r="L69" t="s">
        <v>37</v>
      </c>
      <c r="M69" t="s">
        <v>277</v>
      </c>
      <c r="N69" s="32">
        <v>89.183999999999997</v>
      </c>
    </row>
    <row r="70" spans="1:14" x14ac:dyDescent="0.3">
      <c r="A70" t="s">
        <v>278</v>
      </c>
      <c r="B70" s="8">
        <v>45794</v>
      </c>
      <c r="C70" t="s">
        <v>76</v>
      </c>
      <c r="D70" t="s">
        <v>20</v>
      </c>
      <c r="E70" t="s">
        <v>13</v>
      </c>
      <c r="F70" t="s">
        <v>28</v>
      </c>
      <c r="G70">
        <v>1</v>
      </c>
      <c r="H70" s="32">
        <v>84.35</v>
      </c>
      <c r="I70" s="33">
        <v>0</v>
      </c>
      <c r="J70" t="s">
        <v>30</v>
      </c>
      <c r="K70" t="s">
        <v>87</v>
      </c>
      <c r="L70" t="s">
        <v>37</v>
      </c>
      <c r="M70" t="s">
        <v>280</v>
      </c>
      <c r="N70" s="32">
        <v>84.35</v>
      </c>
    </row>
    <row r="71" spans="1:14" x14ac:dyDescent="0.3">
      <c r="A71" t="s">
        <v>281</v>
      </c>
      <c r="B71" s="8">
        <v>45864</v>
      </c>
      <c r="C71" t="s">
        <v>121</v>
      </c>
      <c r="D71" t="s">
        <v>19</v>
      </c>
      <c r="E71" t="s">
        <v>12</v>
      </c>
      <c r="F71" t="s">
        <v>25</v>
      </c>
      <c r="G71">
        <v>1</v>
      </c>
      <c r="H71" s="32">
        <v>117.12</v>
      </c>
      <c r="I71" s="33">
        <v>5</v>
      </c>
      <c r="J71" t="s">
        <v>32</v>
      </c>
      <c r="K71" t="s">
        <v>92</v>
      </c>
      <c r="L71" t="s">
        <v>37</v>
      </c>
      <c r="M71" t="s">
        <v>283</v>
      </c>
      <c r="N71" s="32">
        <v>111.264</v>
      </c>
    </row>
    <row r="72" spans="1:14" x14ac:dyDescent="0.3">
      <c r="A72" t="s">
        <v>284</v>
      </c>
      <c r="B72" s="8">
        <v>45671</v>
      </c>
      <c r="C72" t="s">
        <v>81</v>
      </c>
      <c r="D72" t="s">
        <v>17</v>
      </c>
      <c r="E72" t="s">
        <v>6</v>
      </c>
      <c r="F72" t="s">
        <v>26</v>
      </c>
      <c r="G72">
        <v>2</v>
      </c>
      <c r="H72" s="32">
        <v>819.72</v>
      </c>
      <c r="I72" s="33">
        <v>20</v>
      </c>
      <c r="J72" t="s">
        <v>33</v>
      </c>
      <c r="K72" t="s">
        <v>87</v>
      </c>
      <c r="L72" t="s">
        <v>37</v>
      </c>
      <c r="M72" t="s">
        <v>283</v>
      </c>
      <c r="N72" s="32">
        <v>1311.5519999999999</v>
      </c>
    </row>
    <row r="73" spans="1:14" x14ac:dyDescent="0.3">
      <c r="A73" t="s">
        <v>285</v>
      </c>
      <c r="B73" s="8">
        <v>45800</v>
      </c>
      <c r="C73" t="s">
        <v>127</v>
      </c>
      <c r="D73" t="s">
        <v>18</v>
      </c>
      <c r="E73" t="s">
        <v>8</v>
      </c>
      <c r="F73" t="s">
        <v>25</v>
      </c>
      <c r="G73">
        <v>1</v>
      </c>
      <c r="H73" s="32">
        <v>690.87</v>
      </c>
      <c r="I73" s="33">
        <v>15</v>
      </c>
      <c r="J73" t="s">
        <v>32</v>
      </c>
      <c r="K73" t="s">
        <v>92</v>
      </c>
      <c r="L73" t="s">
        <v>37</v>
      </c>
      <c r="M73" t="s">
        <v>286</v>
      </c>
      <c r="N73" s="32">
        <v>587.23950000000002</v>
      </c>
    </row>
    <row r="74" spans="1:14" x14ac:dyDescent="0.3">
      <c r="A74" t="s">
        <v>287</v>
      </c>
      <c r="B74" s="8">
        <v>45711</v>
      </c>
      <c r="C74" t="s">
        <v>86</v>
      </c>
      <c r="D74" t="s">
        <v>18</v>
      </c>
      <c r="E74" t="s">
        <v>7</v>
      </c>
      <c r="F74" t="s">
        <v>27</v>
      </c>
      <c r="G74">
        <v>1</v>
      </c>
      <c r="H74" s="32">
        <v>411.71</v>
      </c>
      <c r="I74" s="33">
        <v>15</v>
      </c>
      <c r="J74" t="s">
        <v>32</v>
      </c>
      <c r="K74" t="s">
        <v>87</v>
      </c>
      <c r="L74" t="s">
        <v>38</v>
      </c>
      <c r="M74" t="s">
        <v>108</v>
      </c>
      <c r="N74" s="32">
        <v>349.95350000000002</v>
      </c>
    </row>
    <row r="75" spans="1:14" x14ac:dyDescent="0.3">
      <c r="A75" t="s">
        <v>290</v>
      </c>
      <c r="B75" s="8">
        <v>45787</v>
      </c>
      <c r="C75" t="s">
        <v>76</v>
      </c>
      <c r="D75" t="s">
        <v>18</v>
      </c>
      <c r="E75" t="s">
        <v>13</v>
      </c>
      <c r="F75" t="s">
        <v>28</v>
      </c>
      <c r="G75">
        <v>1</v>
      </c>
      <c r="H75" s="32">
        <v>82.98</v>
      </c>
      <c r="I75" s="33">
        <v>20</v>
      </c>
      <c r="J75" t="s">
        <v>33</v>
      </c>
      <c r="K75" t="s">
        <v>77</v>
      </c>
      <c r="L75" t="s">
        <v>37</v>
      </c>
      <c r="M75" t="s">
        <v>181</v>
      </c>
      <c r="N75" s="32">
        <v>66.384</v>
      </c>
    </row>
    <row r="76" spans="1:14" x14ac:dyDescent="0.3">
      <c r="A76" t="s">
        <v>292</v>
      </c>
      <c r="B76" s="8">
        <v>45780</v>
      </c>
      <c r="C76" t="s">
        <v>91</v>
      </c>
      <c r="D76" t="s">
        <v>19</v>
      </c>
      <c r="E76" t="s">
        <v>11</v>
      </c>
      <c r="F76" t="s">
        <v>26</v>
      </c>
      <c r="G76">
        <v>1</v>
      </c>
      <c r="H76" s="32">
        <v>171.49</v>
      </c>
      <c r="I76" s="33">
        <v>0</v>
      </c>
      <c r="J76" t="s">
        <v>32</v>
      </c>
      <c r="K76" t="s">
        <v>92</v>
      </c>
      <c r="L76" t="s">
        <v>37</v>
      </c>
      <c r="M76" t="s">
        <v>294</v>
      </c>
      <c r="N76" s="32">
        <v>171.49</v>
      </c>
    </row>
    <row r="77" spans="1:14" x14ac:dyDescent="0.3">
      <c r="A77" t="s">
        <v>295</v>
      </c>
      <c r="B77" s="8">
        <v>45736</v>
      </c>
      <c r="C77" t="s">
        <v>91</v>
      </c>
      <c r="D77" t="s">
        <v>19</v>
      </c>
      <c r="E77" t="s">
        <v>12</v>
      </c>
      <c r="F77" t="s">
        <v>25</v>
      </c>
      <c r="G77">
        <v>1</v>
      </c>
      <c r="H77" s="32">
        <v>111.52</v>
      </c>
      <c r="I77" s="33">
        <v>15</v>
      </c>
      <c r="J77" t="s">
        <v>30</v>
      </c>
      <c r="K77" t="s">
        <v>77</v>
      </c>
      <c r="L77" t="s">
        <v>39</v>
      </c>
      <c r="M77" t="s">
        <v>297</v>
      </c>
      <c r="N77" s="32">
        <v>94.792000000000002</v>
      </c>
    </row>
    <row r="78" spans="1:14" x14ac:dyDescent="0.3">
      <c r="A78" t="s">
        <v>298</v>
      </c>
      <c r="B78" s="8">
        <v>45854</v>
      </c>
      <c r="C78" t="s">
        <v>127</v>
      </c>
      <c r="D78" t="s">
        <v>19</v>
      </c>
      <c r="E78" t="s">
        <v>11</v>
      </c>
      <c r="F78" t="s">
        <v>26</v>
      </c>
      <c r="G78">
        <v>1</v>
      </c>
      <c r="H78" s="32">
        <v>155.66999999999999</v>
      </c>
      <c r="I78" s="33">
        <v>15</v>
      </c>
      <c r="J78" t="s">
        <v>31</v>
      </c>
      <c r="K78" t="s">
        <v>92</v>
      </c>
      <c r="L78" t="s">
        <v>37</v>
      </c>
      <c r="M78" t="s">
        <v>300</v>
      </c>
      <c r="N78" s="32">
        <v>132.31950000000001</v>
      </c>
    </row>
    <row r="79" spans="1:14" x14ac:dyDescent="0.3">
      <c r="A79" t="s">
        <v>301</v>
      </c>
      <c r="B79" s="8">
        <v>45794</v>
      </c>
      <c r="C79" t="s">
        <v>91</v>
      </c>
      <c r="D79" t="s">
        <v>17</v>
      </c>
      <c r="E79" t="s">
        <v>6</v>
      </c>
      <c r="F79" t="s">
        <v>26</v>
      </c>
      <c r="G79">
        <v>1</v>
      </c>
      <c r="H79" s="32">
        <v>855.6</v>
      </c>
      <c r="I79" s="33">
        <v>0</v>
      </c>
      <c r="J79" t="s">
        <v>31</v>
      </c>
      <c r="K79" t="s">
        <v>82</v>
      </c>
      <c r="L79" t="s">
        <v>37</v>
      </c>
      <c r="M79" t="s">
        <v>83</v>
      </c>
      <c r="N79" s="32">
        <v>855.6</v>
      </c>
    </row>
    <row r="80" spans="1:14" x14ac:dyDescent="0.3">
      <c r="A80" t="s">
        <v>302</v>
      </c>
      <c r="B80" s="8">
        <v>45851</v>
      </c>
      <c r="C80" t="s">
        <v>86</v>
      </c>
      <c r="D80" t="s">
        <v>21</v>
      </c>
      <c r="E80" t="s">
        <v>13</v>
      </c>
      <c r="F80" t="s">
        <v>28</v>
      </c>
      <c r="G80">
        <v>2</v>
      </c>
      <c r="H80" s="32">
        <v>88.48</v>
      </c>
      <c r="I80" s="33">
        <v>15</v>
      </c>
      <c r="J80" t="s">
        <v>31</v>
      </c>
      <c r="K80" t="s">
        <v>77</v>
      </c>
      <c r="L80" t="s">
        <v>39</v>
      </c>
      <c r="M80" t="s">
        <v>304</v>
      </c>
      <c r="N80" s="32">
        <v>150.416</v>
      </c>
    </row>
    <row r="81" spans="1:14" x14ac:dyDescent="0.3">
      <c r="A81" t="s">
        <v>305</v>
      </c>
      <c r="B81" s="8">
        <v>45853</v>
      </c>
      <c r="C81" t="s">
        <v>103</v>
      </c>
      <c r="D81" t="s">
        <v>18</v>
      </c>
      <c r="E81" t="s">
        <v>6</v>
      </c>
      <c r="F81" t="s">
        <v>26</v>
      </c>
      <c r="G81">
        <v>1</v>
      </c>
      <c r="H81" s="32">
        <v>847.22</v>
      </c>
      <c r="I81" s="33">
        <v>0</v>
      </c>
      <c r="J81" t="s">
        <v>31</v>
      </c>
      <c r="K81" t="s">
        <v>87</v>
      </c>
      <c r="L81" t="s">
        <v>39</v>
      </c>
      <c r="M81" t="s">
        <v>147</v>
      </c>
      <c r="N81" s="32">
        <v>847.22</v>
      </c>
    </row>
    <row r="82" spans="1:14" x14ac:dyDescent="0.3">
      <c r="A82" t="s">
        <v>307</v>
      </c>
      <c r="B82" s="8">
        <v>45665</v>
      </c>
      <c r="C82" t="s">
        <v>114</v>
      </c>
      <c r="D82" t="s">
        <v>17</v>
      </c>
      <c r="E82" t="s">
        <v>11</v>
      </c>
      <c r="F82" t="s">
        <v>26</v>
      </c>
      <c r="G82">
        <v>1</v>
      </c>
      <c r="H82" s="32">
        <v>169.14</v>
      </c>
      <c r="I82" s="33">
        <v>0</v>
      </c>
      <c r="J82" t="s">
        <v>33</v>
      </c>
      <c r="K82" t="s">
        <v>77</v>
      </c>
      <c r="L82" t="s">
        <v>37</v>
      </c>
      <c r="M82" t="s">
        <v>111</v>
      </c>
      <c r="N82" s="32">
        <v>169.14</v>
      </c>
    </row>
    <row r="83" spans="1:14" x14ac:dyDescent="0.3">
      <c r="A83" t="s">
        <v>308</v>
      </c>
      <c r="B83" s="8">
        <v>45699</v>
      </c>
      <c r="C83" t="s">
        <v>121</v>
      </c>
      <c r="D83" t="s">
        <v>18</v>
      </c>
      <c r="E83" t="s">
        <v>7</v>
      </c>
      <c r="F83" t="s">
        <v>27</v>
      </c>
      <c r="G83">
        <v>2</v>
      </c>
      <c r="H83" s="32">
        <v>419.74</v>
      </c>
      <c r="I83" s="33">
        <v>0</v>
      </c>
      <c r="J83" t="s">
        <v>32</v>
      </c>
      <c r="K83" t="s">
        <v>92</v>
      </c>
      <c r="L83" t="s">
        <v>37</v>
      </c>
      <c r="M83" t="s">
        <v>22</v>
      </c>
      <c r="N83" s="32">
        <v>839.48</v>
      </c>
    </row>
    <row r="84" spans="1:14" x14ac:dyDescent="0.3">
      <c r="A84" t="s">
        <v>309</v>
      </c>
      <c r="B84" s="8">
        <v>45774</v>
      </c>
      <c r="C84" t="s">
        <v>114</v>
      </c>
      <c r="D84" t="s">
        <v>20</v>
      </c>
      <c r="E84" t="s">
        <v>9</v>
      </c>
      <c r="F84" t="s">
        <v>27</v>
      </c>
      <c r="G84">
        <v>2</v>
      </c>
      <c r="H84" s="32">
        <v>203.44</v>
      </c>
      <c r="I84" s="33">
        <v>20</v>
      </c>
      <c r="J84" t="s">
        <v>33</v>
      </c>
      <c r="K84" t="s">
        <v>77</v>
      </c>
      <c r="L84" t="s">
        <v>37</v>
      </c>
      <c r="M84" t="s">
        <v>311</v>
      </c>
      <c r="N84" s="32">
        <v>325.50400000000002</v>
      </c>
    </row>
    <row r="85" spans="1:14" x14ac:dyDescent="0.3">
      <c r="A85" t="s">
        <v>312</v>
      </c>
      <c r="B85" s="8">
        <v>45686</v>
      </c>
      <c r="C85" t="s">
        <v>86</v>
      </c>
      <c r="D85" t="s">
        <v>16</v>
      </c>
      <c r="E85" t="s">
        <v>14</v>
      </c>
      <c r="F85" t="s">
        <v>28</v>
      </c>
      <c r="G85">
        <v>4</v>
      </c>
      <c r="H85" s="32">
        <v>50.13</v>
      </c>
      <c r="I85" s="33">
        <v>5</v>
      </c>
      <c r="J85" t="s">
        <v>31</v>
      </c>
      <c r="K85" t="s">
        <v>82</v>
      </c>
      <c r="L85" t="s">
        <v>37</v>
      </c>
      <c r="M85" t="s">
        <v>181</v>
      </c>
      <c r="N85" s="32">
        <v>190.494</v>
      </c>
    </row>
    <row r="86" spans="1:14" x14ac:dyDescent="0.3">
      <c r="A86" t="s">
        <v>314</v>
      </c>
      <c r="B86" s="8">
        <v>45788</v>
      </c>
      <c r="C86" t="s">
        <v>99</v>
      </c>
      <c r="D86" t="s">
        <v>16</v>
      </c>
      <c r="E86" t="s">
        <v>9</v>
      </c>
      <c r="F86" t="s">
        <v>27</v>
      </c>
      <c r="G86">
        <v>1</v>
      </c>
      <c r="H86" s="32">
        <v>173.43</v>
      </c>
      <c r="I86" s="33">
        <v>15</v>
      </c>
      <c r="J86" t="s">
        <v>31</v>
      </c>
      <c r="K86" t="s">
        <v>92</v>
      </c>
      <c r="L86" t="s">
        <v>37</v>
      </c>
      <c r="M86" t="s">
        <v>200</v>
      </c>
      <c r="N86" s="32">
        <v>147.41550000000001</v>
      </c>
    </row>
    <row r="87" spans="1:14" x14ac:dyDescent="0.3">
      <c r="A87" t="s">
        <v>316</v>
      </c>
      <c r="B87" s="8">
        <v>45875</v>
      </c>
      <c r="C87" t="s">
        <v>99</v>
      </c>
      <c r="D87" t="s">
        <v>16</v>
      </c>
      <c r="E87" t="s">
        <v>7</v>
      </c>
      <c r="F87" t="s">
        <v>27</v>
      </c>
      <c r="G87">
        <v>5</v>
      </c>
      <c r="H87" s="32">
        <v>409.41</v>
      </c>
      <c r="I87" s="33">
        <v>0</v>
      </c>
      <c r="J87" t="s">
        <v>32</v>
      </c>
      <c r="K87" t="s">
        <v>77</v>
      </c>
      <c r="L87" t="s">
        <v>37</v>
      </c>
      <c r="M87" t="s">
        <v>189</v>
      </c>
      <c r="N87" s="32">
        <v>2047.05</v>
      </c>
    </row>
    <row r="88" spans="1:14" x14ac:dyDescent="0.3">
      <c r="A88" t="s">
        <v>318</v>
      </c>
      <c r="B88" s="8">
        <v>45809</v>
      </c>
      <c r="C88" t="s">
        <v>107</v>
      </c>
      <c r="D88" t="s">
        <v>17</v>
      </c>
      <c r="E88" t="s">
        <v>9</v>
      </c>
      <c r="F88" t="s">
        <v>27</v>
      </c>
      <c r="G88">
        <v>1</v>
      </c>
      <c r="H88" s="32">
        <v>178.15</v>
      </c>
      <c r="I88" s="33">
        <v>5</v>
      </c>
      <c r="J88" t="s">
        <v>30</v>
      </c>
      <c r="K88" t="s">
        <v>92</v>
      </c>
      <c r="L88" t="s">
        <v>37</v>
      </c>
      <c r="M88" t="s">
        <v>320</v>
      </c>
      <c r="N88" s="32">
        <v>169.24250000000001</v>
      </c>
    </row>
    <row r="89" spans="1:14" x14ac:dyDescent="0.3">
      <c r="A89" t="s">
        <v>321</v>
      </c>
      <c r="B89" s="8">
        <v>45804</v>
      </c>
      <c r="C89" t="s">
        <v>127</v>
      </c>
      <c r="D89" t="s">
        <v>16</v>
      </c>
      <c r="E89" t="s">
        <v>5</v>
      </c>
      <c r="F89" t="s">
        <v>25</v>
      </c>
      <c r="G89">
        <v>2</v>
      </c>
      <c r="H89" s="32">
        <v>1052.8</v>
      </c>
      <c r="I89" s="33">
        <v>0</v>
      </c>
      <c r="J89" t="s">
        <v>31</v>
      </c>
      <c r="K89" t="s">
        <v>87</v>
      </c>
      <c r="L89" t="s">
        <v>37</v>
      </c>
      <c r="M89" t="s">
        <v>115</v>
      </c>
      <c r="N89" s="32">
        <v>2105.6</v>
      </c>
    </row>
    <row r="90" spans="1:14" x14ac:dyDescent="0.3">
      <c r="A90" t="s">
        <v>323</v>
      </c>
      <c r="B90" s="8">
        <v>45816</v>
      </c>
      <c r="C90" t="s">
        <v>107</v>
      </c>
      <c r="D90" t="s">
        <v>19</v>
      </c>
      <c r="E90" t="s">
        <v>12</v>
      </c>
      <c r="F90" t="s">
        <v>25</v>
      </c>
      <c r="G90">
        <v>4</v>
      </c>
      <c r="H90" s="32">
        <v>127.39</v>
      </c>
      <c r="I90" s="33">
        <v>0</v>
      </c>
      <c r="J90" t="s">
        <v>31</v>
      </c>
      <c r="K90" t="s">
        <v>92</v>
      </c>
      <c r="L90" t="s">
        <v>39</v>
      </c>
      <c r="M90" t="s">
        <v>122</v>
      </c>
      <c r="N90" s="32">
        <v>509.56</v>
      </c>
    </row>
    <row r="91" spans="1:14" x14ac:dyDescent="0.3">
      <c r="A91" t="s">
        <v>325</v>
      </c>
      <c r="B91" s="8">
        <v>45725</v>
      </c>
      <c r="C91" t="s">
        <v>86</v>
      </c>
      <c r="D91" t="s">
        <v>19</v>
      </c>
      <c r="E91" t="s">
        <v>7</v>
      </c>
      <c r="F91" t="s">
        <v>27</v>
      </c>
      <c r="G91">
        <v>2</v>
      </c>
      <c r="H91" s="32">
        <v>396.44</v>
      </c>
      <c r="I91" s="33">
        <v>10</v>
      </c>
      <c r="J91" t="s">
        <v>30</v>
      </c>
      <c r="K91" t="s">
        <v>82</v>
      </c>
      <c r="L91" t="s">
        <v>38</v>
      </c>
      <c r="M91" t="s">
        <v>192</v>
      </c>
      <c r="N91" s="32">
        <v>713.59199999999998</v>
      </c>
    </row>
    <row r="92" spans="1:14" x14ac:dyDescent="0.3">
      <c r="A92" t="s">
        <v>327</v>
      </c>
      <c r="B92" s="8">
        <v>45831</v>
      </c>
      <c r="C92" t="s">
        <v>99</v>
      </c>
      <c r="D92" t="s">
        <v>20</v>
      </c>
      <c r="E92" t="s">
        <v>11</v>
      </c>
      <c r="F92" t="s">
        <v>26</v>
      </c>
      <c r="G92">
        <v>4</v>
      </c>
      <c r="H92" s="32">
        <v>146.07</v>
      </c>
      <c r="I92" s="33">
        <v>0</v>
      </c>
      <c r="J92" t="s">
        <v>31</v>
      </c>
      <c r="K92" t="s">
        <v>77</v>
      </c>
      <c r="L92" t="s">
        <v>37</v>
      </c>
      <c r="M92" t="s">
        <v>329</v>
      </c>
      <c r="N92" s="32">
        <v>584.28</v>
      </c>
    </row>
    <row r="93" spans="1:14" x14ac:dyDescent="0.3">
      <c r="A93" t="s">
        <v>330</v>
      </c>
      <c r="B93" s="8">
        <v>45721</v>
      </c>
      <c r="C93" t="s">
        <v>86</v>
      </c>
      <c r="D93" t="s">
        <v>17</v>
      </c>
      <c r="E93" t="s">
        <v>12</v>
      </c>
      <c r="F93" t="s">
        <v>25</v>
      </c>
      <c r="G93">
        <v>3</v>
      </c>
      <c r="H93" s="32">
        <v>108.42</v>
      </c>
      <c r="I93" s="33">
        <v>15</v>
      </c>
      <c r="J93" t="s">
        <v>30</v>
      </c>
      <c r="K93" t="s">
        <v>77</v>
      </c>
      <c r="L93" t="s">
        <v>39</v>
      </c>
      <c r="M93" t="s">
        <v>332</v>
      </c>
      <c r="N93" s="32">
        <v>276.471</v>
      </c>
    </row>
    <row r="94" spans="1:14" x14ac:dyDescent="0.3">
      <c r="A94" t="s">
        <v>333</v>
      </c>
      <c r="B94" s="8">
        <v>45825</v>
      </c>
      <c r="C94" t="s">
        <v>81</v>
      </c>
      <c r="D94" t="s">
        <v>17</v>
      </c>
      <c r="E94" t="s">
        <v>12</v>
      </c>
      <c r="F94" t="s">
        <v>25</v>
      </c>
      <c r="G94">
        <v>2</v>
      </c>
      <c r="H94" s="32">
        <v>122.14</v>
      </c>
      <c r="I94" s="33">
        <v>0</v>
      </c>
      <c r="J94" t="s">
        <v>32</v>
      </c>
      <c r="K94" t="s">
        <v>87</v>
      </c>
      <c r="L94" t="s">
        <v>38</v>
      </c>
      <c r="M94" t="s">
        <v>178</v>
      </c>
      <c r="N94" s="32">
        <v>244.28</v>
      </c>
    </row>
    <row r="95" spans="1:14" x14ac:dyDescent="0.3">
      <c r="A95" t="s">
        <v>334</v>
      </c>
      <c r="B95" s="8">
        <v>45813</v>
      </c>
      <c r="C95" t="s">
        <v>76</v>
      </c>
      <c r="D95" t="s">
        <v>20</v>
      </c>
      <c r="E95" t="s">
        <v>12</v>
      </c>
      <c r="F95" t="s">
        <v>25</v>
      </c>
      <c r="G95">
        <v>1</v>
      </c>
      <c r="H95" s="32">
        <v>136.38999999999999</v>
      </c>
      <c r="I95" s="33">
        <v>0</v>
      </c>
      <c r="J95" t="s">
        <v>31</v>
      </c>
      <c r="K95" t="s">
        <v>77</v>
      </c>
      <c r="L95" t="s">
        <v>39</v>
      </c>
      <c r="M95" t="s">
        <v>336</v>
      </c>
      <c r="N95" s="32">
        <v>136.38999999999999</v>
      </c>
    </row>
    <row r="96" spans="1:14" x14ac:dyDescent="0.3">
      <c r="A96" t="s">
        <v>337</v>
      </c>
      <c r="B96" s="8">
        <v>45872</v>
      </c>
      <c r="C96" t="s">
        <v>103</v>
      </c>
      <c r="D96" t="s">
        <v>18</v>
      </c>
      <c r="E96" t="s">
        <v>7</v>
      </c>
      <c r="F96" t="s">
        <v>27</v>
      </c>
      <c r="G96">
        <v>2</v>
      </c>
      <c r="H96" s="32">
        <v>456.03</v>
      </c>
      <c r="I96" s="33">
        <v>15</v>
      </c>
      <c r="J96" t="s">
        <v>33</v>
      </c>
      <c r="K96" t="s">
        <v>77</v>
      </c>
      <c r="L96" t="s">
        <v>38</v>
      </c>
      <c r="M96" t="s">
        <v>178</v>
      </c>
      <c r="N96" s="32">
        <v>775.25099999999998</v>
      </c>
    </row>
    <row r="97" spans="1:14" x14ac:dyDescent="0.3">
      <c r="A97" t="s">
        <v>339</v>
      </c>
      <c r="B97" s="8">
        <v>45885</v>
      </c>
      <c r="C97" t="s">
        <v>81</v>
      </c>
      <c r="D97" t="s">
        <v>16</v>
      </c>
      <c r="E97" t="s">
        <v>14</v>
      </c>
      <c r="F97" t="s">
        <v>28</v>
      </c>
      <c r="G97">
        <v>1</v>
      </c>
      <c r="H97" s="32">
        <v>54.59</v>
      </c>
      <c r="I97" s="33">
        <v>0</v>
      </c>
      <c r="J97" t="s">
        <v>30</v>
      </c>
      <c r="K97" t="s">
        <v>87</v>
      </c>
      <c r="L97" t="s">
        <v>39</v>
      </c>
      <c r="M97" t="s">
        <v>341</v>
      </c>
      <c r="N97" s="32">
        <v>54.59</v>
      </c>
    </row>
    <row r="98" spans="1:14" x14ac:dyDescent="0.3">
      <c r="A98" t="s">
        <v>342</v>
      </c>
      <c r="B98" s="8">
        <v>45890</v>
      </c>
      <c r="C98" t="s">
        <v>81</v>
      </c>
      <c r="D98" t="s">
        <v>17</v>
      </c>
      <c r="E98" t="s">
        <v>6</v>
      </c>
      <c r="F98" t="s">
        <v>26</v>
      </c>
      <c r="G98">
        <v>1</v>
      </c>
      <c r="H98" s="32">
        <v>890.8</v>
      </c>
      <c r="I98" s="33">
        <v>15</v>
      </c>
      <c r="J98" t="s">
        <v>33</v>
      </c>
      <c r="K98" t="s">
        <v>92</v>
      </c>
      <c r="L98" t="s">
        <v>37</v>
      </c>
      <c r="M98" t="s">
        <v>344</v>
      </c>
      <c r="N98" s="32">
        <v>757.18</v>
      </c>
    </row>
    <row r="99" spans="1:14" x14ac:dyDescent="0.3">
      <c r="A99" t="s">
        <v>345</v>
      </c>
      <c r="B99" s="8">
        <v>45763</v>
      </c>
      <c r="C99" t="s">
        <v>121</v>
      </c>
      <c r="D99" t="s">
        <v>21</v>
      </c>
      <c r="E99" t="s">
        <v>9</v>
      </c>
      <c r="F99" t="s">
        <v>27</v>
      </c>
      <c r="G99">
        <v>5</v>
      </c>
      <c r="H99" s="32">
        <v>197.41</v>
      </c>
      <c r="I99" s="33">
        <v>10</v>
      </c>
      <c r="J99" t="s">
        <v>30</v>
      </c>
      <c r="K99" t="s">
        <v>82</v>
      </c>
      <c r="L99" t="s">
        <v>37</v>
      </c>
      <c r="M99" t="s">
        <v>347</v>
      </c>
      <c r="N99" s="32">
        <v>888.34500000000003</v>
      </c>
    </row>
    <row r="100" spans="1:14" x14ac:dyDescent="0.3">
      <c r="A100" t="s">
        <v>348</v>
      </c>
      <c r="B100" s="8">
        <v>45799</v>
      </c>
      <c r="C100" t="s">
        <v>103</v>
      </c>
      <c r="D100" t="s">
        <v>19</v>
      </c>
      <c r="E100" t="s">
        <v>8</v>
      </c>
      <c r="F100" t="s">
        <v>25</v>
      </c>
      <c r="G100">
        <v>3</v>
      </c>
      <c r="H100" s="32">
        <v>681.85</v>
      </c>
      <c r="I100" s="33">
        <v>0</v>
      </c>
      <c r="J100" t="s">
        <v>31</v>
      </c>
      <c r="K100" t="s">
        <v>92</v>
      </c>
      <c r="L100" t="s">
        <v>37</v>
      </c>
      <c r="M100" t="s">
        <v>228</v>
      </c>
      <c r="N100" s="32">
        <v>2045.55</v>
      </c>
    </row>
    <row r="101" spans="1:14" x14ac:dyDescent="0.3">
      <c r="A101" t="s">
        <v>349</v>
      </c>
      <c r="B101" s="8">
        <v>45779</v>
      </c>
      <c r="C101" t="s">
        <v>86</v>
      </c>
      <c r="D101" t="s">
        <v>20</v>
      </c>
      <c r="E101" t="s">
        <v>8</v>
      </c>
      <c r="F101" t="s">
        <v>25</v>
      </c>
      <c r="G101">
        <v>1</v>
      </c>
      <c r="H101" s="32">
        <v>744.11</v>
      </c>
      <c r="I101" s="33">
        <v>0</v>
      </c>
      <c r="J101" t="s">
        <v>30</v>
      </c>
      <c r="K101" t="s">
        <v>92</v>
      </c>
      <c r="L101" t="s">
        <v>38</v>
      </c>
      <c r="M101" t="s">
        <v>175</v>
      </c>
      <c r="N101" s="32">
        <v>744.11</v>
      </c>
    </row>
    <row r="102" spans="1:14" x14ac:dyDescent="0.3">
      <c r="A102" t="s">
        <v>350</v>
      </c>
      <c r="B102" s="8">
        <v>45901</v>
      </c>
      <c r="C102" t="s">
        <v>86</v>
      </c>
      <c r="D102" t="s">
        <v>19</v>
      </c>
      <c r="E102" t="s">
        <v>6</v>
      </c>
      <c r="F102" t="s">
        <v>26</v>
      </c>
      <c r="G102">
        <v>2</v>
      </c>
      <c r="H102" s="32">
        <v>847.4</v>
      </c>
      <c r="I102" s="33">
        <v>10</v>
      </c>
      <c r="J102" t="s">
        <v>33</v>
      </c>
      <c r="K102" t="s">
        <v>77</v>
      </c>
      <c r="L102" t="s">
        <v>39</v>
      </c>
      <c r="M102" t="s">
        <v>352</v>
      </c>
      <c r="N102" s="32">
        <v>1525.32</v>
      </c>
    </row>
    <row r="103" spans="1:14" x14ac:dyDescent="0.3">
      <c r="A103" t="s">
        <v>353</v>
      </c>
      <c r="B103" s="8">
        <v>45924</v>
      </c>
      <c r="C103" t="s">
        <v>99</v>
      </c>
      <c r="D103" t="s">
        <v>17</v>
      </c>
      <c r="E103" t="s">
        <v>9</v>
      </c>
      <c r="F103" t="s">
        <v>27</v>
      </c>
      <c r="G103">
        <v>4</v>
      </c>
      <c r="H103" s="32">
        <v>163.95</v>
      </c>
      <c r="I103" s="33">
        <v>0</v>
      </c>
      <c r="J103" t="s">
        <v>33</v>
      </c>
      <c r="K103" t="s">
        <v>77</v>
      </c>
      <c r="L103" t="s">
        <v>37</v>
      </c>
      <c r="M103" t="s">
        <v>108</v>
      </c>
      <c r="N103" s="32">
        <v>655.8</v>
      </c>
    </row>
    <row r="104" spans="1:14" x14ac:dyDescent="0.3">
      <c r="A104" t="s">
        <v>355</v>
      </c>
      <c r="B104" s="8">
        <v>45885</v>
      </c>
      <c r="C104" t="s">
        <v>76</v>
      </c>
      <c r="D104" t="s">
        <v>16</v>
      </c>
      <c r="E104" t="s">
        <v>6</v>
      </c>
      <c r="F104" t="s">
        <v>26</v>
      </c>
      <c r="G104">
        <v>2</v>
      </c>
      <c r="H104" s="32">
        <v>797.6</v>
      </c>
      <c r="I104" s="33">
        <v>10</v>
      </c>
      <c r="J104" t="s">
        <v>31</v>
      </c>
      <c r="K104" t="s">
        <v>92</v>
      </c>
      <c r="L104" t="s">
        <v>37</v>
      </c>
      <c r="M104" t="s">
        <v>175</v>
      </c>
      <c r="N104" s="32">
        <v>1435.68</v>
      </c>
    </row>
    <row r="105" spans="1:14" x14ac:dyDescent="0.3">
      <c r="A105" t="s">
        <v>356</v>
      </c>
      <c r="B105" s="8">
        <v>45824</v>
      </c>
      <c r="C105" t="s">
        <v>127</v>
      </c>
      <c r="D105" t="s">
        <v>19</v>
      </c>
      <c r="E105" t="s">
        <v>14</v>
      </c>
      <c r="F105" t="s">
        <v>28</v>
      </c>
      <c r="G105">
        <v>2</v>
      </c>
      <c r="H105" s="32">
        <v>57.55</v>
      </c>
      <c r="I105" s="33">
        <v>0</v>
      </c>
      <c r="J105" t="s">
        <v>32</v>
      </c>
      <c r="K105" t="s">
        <v>77</v>
      </c>
      <c r="L105" t="s">
        <v>39</v>
      </c>
      <c r="M105" t="s">
        <v>147</v>
      </c>
      <c r="N105" s="32">
        <v>115.1</v>
      </c>
    </row>
    <row r="106" spans="1:14" x14ac:dyDescent="0.3">
      <c r="A106" t="s">
        <v>358</v>
      </c>
      <c r="B106" s="8">
        <v>45768</v>
      </c>
      <c r="C106" t="s">
        <v>99</v>
      </c>
      <c r="D106" t="s">
        <v>21</v>
      </c>
      <c r="E106" t="s">
        <v>12</v>
      </c>
      <c r="F106" t="s">
        <v>25</v>
      </c>
      <c r="G106">
        <v>3</v>
      </c>
      <c r="H106" s="32">
        <v>127.53</v>
      </c>
      <c r="I106" s="33">
        <v>5</v>
      </c>
      <c r="J106" t="s">
        <v>30</v>
      </c>
      <c r="K106" t="s">
        <v>77</v>
      </c>
      <c r="L106" t="s">
        <v>39</v>
      </c>
      <c r="M106" t="s">
        <v>108</v>
      </c>
      <c r="N106" s="32">
        <v>363.46050000000002</v>
      </c>
    </row>
    <row r="107" spans="1:14" x14ac:dyDescent="0.3">
      <c r="A107" t="s">
        <v>360</v>
      </c>
      <c r="B107" s="8">
        <v>45818</v>
      </c>
      <c r="C107" t="s">
        <v>86</v>
      </c>
      <c r="D107" t="s">
        <v>21</v>
      </c>
      <c r="E107" t="s">
        <v>6</v>
      </c>
      <c r="F107" t="s">
        <v>26</v>
      </c>
      <c r="G107">
        <v>2</v>
      </c>
      <c r="H107" s="32">
        <v>762.95</v>
      </c>
      <c r="I107" s="33">
        <v>15</v>
      </c>
      <c r="J107" t="s">
        <v>32</v>
      </c>
      <c r="K107" t="s">
        <v>92</v>
      </c>
      <c r="L107" t="s">
        <v>37</v>
      </c>
      <c r="M107" t="s">
        <v>361</v>
      </c>
      <c r="N107" s="32">
        <v>1297.0150000000001</v>
      </c>
    </row>
    <row r="108" spans="1:14" x14ac:dyDescent="0.3">
      <c r="A108" t="s">
        <v>362</v>
      </c>
      <c r="B108" s="8">
        <v>45848</v>
      </c>
      <c r="C108" t="s">
        <v>121</v>
      </c>
      <c r="D108" t="s">
        <v>20</v>
      </c>
      <c r="E108" t="s">
        <v>12</v>
      </c>
      <c r="F108" t="s">
        <v>25</v>
      </c>
      <c r="G108">
        <v>1</v>
      </c>
      <c r="H108" s="32">
        <v>110.9</v>
      </c>
      <c r="I108" s="33">
        <v>10</v>
      </c>
      <c r="J108" t="s">
        <v>30</v>
      </c>
      <c r="K108" t="s">
        <v>92</v>
      </c>
      <c r="L108" t="s">
        <v>37</v>
      </c>
      <c r="M108" t="s">
        <v>181</v>
      </c>
      <c r="N108" s="32">
        <v>99.81</v>
      </c>
    </row>
    <row r="109" spans="1:14" x14ac:dyDescent="0.3">
      <c r="A109" t="s">
        <v>364</v>
      </c>
      <c r="B109" s="8">
        <v>45874</v>
      </c>
      <c r="C109" t="s">
        <v>91</v>
      </c>
      <c r="D109" t="s">
        <v>19</v>
      </c>
      <c r="E109" t="s">
        <v>7</v>
      </c>
      <c r="F109" t="s">
        <v>27</v>
      </c>
      <c r="G109">
        <v>3</v>
      </c>
      <c r="H109" s="32">
        <v>476.82</v>
      </c>
      <c r="I109" s="33">
        <v>0</v>
      </c>
      <c r="J109" t="s">
        <v>30</v>
      </c>
      <c r="K109" t="s">
        <v>92</v>
      </c>
      <c r="L109" t="s">
        <v>37</v>
      </c>
      <c r="M109" t="s">
        <v>241</v>
      </c>
      <c r="N109" s="32">
        <v>1430.46</v>
      </c>
    </row>
    <row r="110" spans="1:14" x14ac:dyDescent="0.3">
      <c r="A110" t="s">
        <v>365</v>
      </c>
      <c r="B110" s="8">
        <v>45713</v>
      </c>
      <c r="C110" t="s">
        <v>121</v>
      </c>
      <c r="D110" t="s">
        <v>16</v>
      </c>
      <c r="E110" t="s">
        <v>9</v>
      </c>
      <c r="F110" t="s">
        <v>27</v>
      </c>
      <c r="G110">
        <v>1</v>
      </c>
      <c r="H110" s="32">
        <v>183.7</v>
      </c>
      <c r="I110" s="33">
        <v>0</v>
      </c>
      <c r="J110" t="s">
        <v>30</v>
      </c>
      <c r="K110" t="s">
        <v>82</v>
      </c>
      <c r="L110" t="s">
        <v>37</v>
      </c>
      <c r="M110" t="s">
        <v>366</v>
      </c>
      <c r="N110" s="32">
        <v>183.7</v>
      </c>
    </row>
    <row r="111" spans="1:14" x14ac:dyDescent="0.3">
      <c r="A111" t="s">
        <v>367</v>
      </c>
      <c r="B111" s="8">
        <v>45671</v>
      </c>
      <c r="C111" t="s">
        <v>91</v>
      </c>
      <c r="D111" t="s">
        <v>20</v>
      </c>
      <c r="E111" t="s">
        <v>13</v>
      </c>
      <c r="F111" t="s">
        <v>28</v>
      </c>
      <c r="G111">
        <v>5</v>
      </c>
      <c r="H111" s="32">
        <v>99.41</v>
      </c>
      <c r="I111" s="33">
        <v>0</v>
      </c>
      <c r="J111" t="s">
        <v>30</v>
      </c>
      <c r="K111" t="s">
        <v>87</v>
      </c>
      <c r="L111" t="s">
        <v>38</v>
      </c>
      <c r="M111" t="s">
        <v>368</v>
      </c>
      <c r="N111" s="32">
        <v>497.05</v>
      </c>
    </row>
    <row r="112" spans="1:14" x14ac:dyDescent="0.3">
      <c r="A112" t="s">
        <v>369</v>
      </c>
      <c r="B112" s="8">
        <v>45863</v>
      </c>
      <c r="C112" t="s">
        <v>103</v>
      </c>
      <c r="D112" t="s">
        <v>17</v>
      </c>
      <c r="E112" t="s">
        <v>7</v>
      </c>
      <c r="F112" t="s">
        <v>27</v>
      </c>
      <c r="G112">
        <v>1</v>
      </c>
      <c r="H112" s="32">
        <v>469.34</v>
      </c>
      <c r="I112" s="33">
        <v>15</v>
      </c>
      <c r="J112" t="s">
        <v>33</v>
      </c>
      <c r="K112" t="s">
        <v>92</v>
      </c>
      <c r="L112" t="s">
        <v>37</v>
      </c>
      <c r="M112" t="s">
        <v>371</v>
      </c>
      <c r="N112" s="32">
        <v>398.93900000000002</v>
      </c>
    </row>
    <row r="113" spans="1:14" x14ac:dyDescent="0.3">
      <c r="A113" t="s">
        <v>372</v>
      </c>
      <c r="B113" s="8">
        <v>45847</v>
      </c>
      <c r="C113" t="s">
        <v>86</v>
      </c>
      <c r="D113" t="s">
        <v>19</v>
      </c>
      <c r="E113" t="s">
        <v>6</v>
      </c>
      <c r="F113" t="s">
        <v>26</v>
      </c>
      <c r="G113">
        <v>1</v>
      </c>
      <c r="H113" s="32">
        <v>768.47</v>
      </c>
      <c r="I113" s="33">
        <v>10</v>
      </c>
      <c r="J113" t="s">
        <v>33</v>
      </c>
      <c r="K113" t="s">
        <v>92</v>
      </c>
      <c r="L113" t="s">
        <v>37</v>
      </c>
      <c r="M113" t="s">
        <v>124</v>
      </c>
      <c r="N113" s="32">
        <v>691.62300000000005</v>
      </c>
    </row>
    <row r="114" spans="1:14" x14ac:dyDescent="0.3">
      <c r="A114" t="s">
        <v>374</v>
      </c>
      <c r="B114" s="8">
        <v>45699</v>
      </c>
      <c r="C114" t="s">
        <v>99</v>
      </c>
      <c r="D114" t="s">
        <v>17</v>
      </c>
      <c r="E114" t="s">
        <v>8</v>
      </c>
      <c r="F114" t="s">
        <v>25</v>
      </c>
      <c r="G114">
        <v>2</v>
      </c>
      <c r="H114" s="32">
        <v>593.09</v>
      </c>
      <c r="I114" s="33">
        <v>5</v>
      </c>
      <c r="J114" t="s">
        <v>32</v>
      </c>
      <c r="K114" t="s">
        <v>77</v>
      </c>
      <c r="L114" t="s">
        <v>37</v>
      </c>
      <c r="M114" t="s">
        <v>206</v>
      </c>
      <c r="N114" s="32">
        <v>1126.8710000000001</v>
      </c>
    </row>
    <row r="115" spans="1:14" x14ac:dyDescent="0.3">
      <c r="A115" t="s">
        <v>375</v>
      </c>
      <c r="B115" s="8">
        <v>45834</v>
      </c>
      <c r="C115" t="s">
        <v>76</v>
      </c>
      <c r="D115" t="s">
        <v>16</v>
      </c>
      <c r="E115" t="s">
        <v>14</v>
      </c>
      <c r="F115" t="s">
        <v>28</v>
      </c>
      <c r="G115">
        <v>1</v>
      </c>
      <c r="H115" s="32">
        <v>56.54</v>
      </c>
      <c r="I115" s="33">
        <v>15</v>
      </c>
      <c r="J115" t="s">
        <v>32</v>
      </c>
      <c r="K115" t="s">
        <v>87</v>
      </c>
      <c r="L115" t="s">
        <v>39</v>
      </c>
      <c r="M115" t="s">
        <v>376</v>
      </c>
      <c r="N115" s="32">
        <v>48.058999999999997</v>
      </c>
    </row>
    <row r="116" spans="1:14" x14ac:dyDescent="0.3">
      <c r="A116" t="s">
        <v>377</v>
      </c>
      <c r="B116" s="8">
        <v>45661</v>
      </c>
      <c r="C116" t="s">
        <v>91</v>
      </c>
      <c r="D116" t="s">
        <v>21</v>
      </c>
      <c r="E116" t="s">
        <v>9</v>
      </c>
      <c r="F116" t="s">
        <v>27</v>
      </c>
      <c r="G116">
        <v>1</v>
      </c>
      <c r="H116" s="32">
        <v>188.97</v>
      </c>
      <c r="I116" s="33">
        <v>20</v>
      </c>
      <c r="J116" t="s">
        <v>31</v>
      </c>
      <c r="K116" t="s">
        <v>87</v>
      </c>
      <c r="L116" t="s">
        <v>37</v>
      </c>
      <c r="M116" t="s">
        <v>96</v>
      </c>
      <c r="N116" s="32">
        <v>151.17599999999999</v>
      </c>
    </row>
    <row r="117" spans="1:14" x14ac:dyDescent="0.3">
      <c r="A117" t="s">
        <v>379</v>
      </c>
      <c r="B117" s="8">
        <v>45878</v>
      </c>
      <c r="C117" t="s">
        <v>103</v>
      </c>
      <c r="D117" t="s">
        <v>18</v>
      </c>
      <c r="E117" t="s">
        <v>7</v>
      </c>
      <c r="F117" t="s">
        <v>27</v>
      </c>
      <c r="G117">
        <v>1</v>
      </c>
      <c r="H117" s="32">
        <v>430.23</v>
      </c>
      <c r="I117" s="33">
        <v>10</v>
      </c>
      <c r="J117" t="s">
        <v>31</v>
      </c>
      <c r="K117" t="s">
        <v>87</v>
      </c>
      <c r="L117" t="s">
        <v>37</v>
      </c>
      <c r="M117" t="s">
        <v>381</v>
      </c>
      <c r="N117" s="32">
        <v>387.20699999999999</v>
      </c>
    </row>
    <row r="118" spans="1:14" x14ac:dyDescent="0.3">
      <c r="A118" t="s">
        <v>382</v>
      </c>
      <c r="B118" s="8">
        <v>45667</v>
      </c>
      <c r="C118" t="s">
        <v>76</v>
      </c>
      <c r="D118" t="s">
        <v>16</v>
      </c>
      <c r="E118" t="s">
        <v>6</v>
      </c>
      <c r="F118" t="s">
        <v>26</v>
      </c>
      <c r="G118">
        <v>3</v>
      </c>
      <c r="H118" s="32">
        <v>710.25</v>
      </c>
      <c r="I118" s="33">
        <v>10</v>
      </c>
      <c r="J118" t="s">
        <v>32</v>
      </c>
      <c r="K118" t="s">
        <v>77</v>
      </c>
      <c r="L118" t="s">
        <v>39</v>
      </c>
      <c r="M118" t="s">
        <v>206</v>
      </c>
      <c r="N118" s="32">
        <v>1917.675</v>
      </c>
    </row>
    <row r="119" spans="1:14" x14ac:dyDescent="0.3">
      <c r="A119" t="s">
        <v>384</v>
      </c>
      <c r="B119" s="8">
        <v>45824</v>
      </c>
      <c r="C119" t="s">
        <v>127</v>
      </c>
      <c r="D119" t="s">
        <v>18</v>
      </c>
      <c r="E119" t="s">
        <v>14</v>
      </c>
      <c r="F119" t="s">
        <v>28</v>
      </c>
      <c r="G119">
        <v>1</v>
      </c>
      <c r="H119" s="32">
        <v>49.79</v>
      </c>
      <c r="I119" s="33">
        <v>20</v>
      </c>
      <c r="J119" t="s">
        <v>30</v>
      </c>
      <c r="K119" t="s">
        <v>92</v>
      </c>
      <c r="L119" t="s">
        <v>37</v>
      </c>
      <c r="M119" t="s">
        <v>244</v>
      </c>
      <c r="N119" s="32">
        <v>39.832000000000001</v>
      </c>
    </row>
    <row r="120" spans="1:14" x14ac:dyDescent="0.3">
      <c r="A120" t="s">
        <v>385</v>
      </c>
      <c r="B120" s="8">
        <v>45926</v>
      </c>
      <c r="C120" t="s">
        <v>114</v>
      </c>
      <c r="D120" t="s">
        <v>16</v>
      </c>
      <c r="E120" t="s">
        <v>12</v>
      </c>
      <c r="F120" t="s">
        <v>25</v>
      </c>
      <c r="G120">
        <v>1</v>
      </c>
      <c r="H120" s="32">
        <v>125.67</v>
      </c>
      <c r="I120" s="33">
        <v>15</v>
      </c>
      <c r="J120" t="s">
        <v>30</v>
      </c>
      <c r="K120" t="s">
        <v>82</v>
      </c>
      <c r="L120" t="s">
        <v>37</v>
      </c>
      <c r="M120" t="s">
        <v>344</v>
      </c>
      <c r="N120" s="32">
        <v>106.81950000000001</v>
      </c>
    </row>
    <row r="121" spans="1:14" x14ac:dyDescent="0.3">
      <c r="A121" t="s">
        <v>386</v>
      </c>
      <c r="B121" s="8">
        <v>45929</v>
      </c>
      <c r="C121" t="s">
        <v>81</v>
      </c>
      <c r="D121" t="s">
        <v>16</v>
      </c>
      <c r="E121" t="s">
        <v>8</v>
      </c>
      <c r="F121" t="s">
        <v>25</v>
      </c>
      <c r="G121">
        <v>1</v>
      </c>
      <c r="H121" s="32">
        <v>687.9</v>
      </c>
      <c r="I121" s="33">
        <v>0</v>
      </c>
      <c r="J121" t="s">
        <v>31</v>
      </c>
      <c r="K121" t="s">
        <v>82</v>
      </c>
      <c r="L121" t="s">
        <v>38</v>
      </c>
      <c r="M121" t="s">
        <v>88</v>
      </c>
      <c r="N121" s="32">
        <v>687.9</v>
      </c>
    </row>
    <row r="122" spans="1:14" x14ac:dyDescent="0.3">
      <c r="A122" t="s">
        <v>387</v>
      </c>
      <c r="B122" s="8">
        <v>45736</v>
      </c>
      <c r="C122" t="s">
        <v>103</v>
      </c>
      <c r="D122" t="s">
        <v>17</v>
      </c>
      <c r="E122" t="s">
        <v>8</v>
      </c>
      <c r="F122" t="s">
        <v>25</v>
      </c>
      <c r="G122">
        <v>1</v>
      </c>
      <c r="H122" s="32">
        <v>613.19000000000005</v>
      </c>
      <c r="I122" s="33">
        <v>5</v>
      </c>
      <c r="J122" t="s">
        <v>32</v>
      </c>
      <c r="K122" t="s">
        <v>77</v>
      </c>
      <c r="L122" t="s">
        <v>37</v>
      </c>
      <c r="M122" t="s">
        <v>247</v>
      </c>
      <c r="N122" s="32">
        <v>582.53049999999996</v>
      </c>
    </row>
    <row r="123" spans="1:14" x14ac:dyDescent="0.3">
      <c r="A123" t="s">
        <v>388</v>
      </c>
      <c r="B123" s="8">
        <v>45884</v>
      </c>
      <c r="C123" t="s">
        <v>91</v>
      </c>
      <c r="D123" t="s">
        <v>19</v>
      </c>
      <c r="E123" t="s">
        <v>7</v>
      </c>
      <c r="F123" t="s">
        <v>27</v>
      </c>
      <c r="G123">
        <v>1</v>
      </c>
      <c r="H123" s="32">
        <v>385.17</v>
      </c>
      <c r="I123" s="33">
        <v>0</v>
      </c>
      <c r="J123" t="s">
        <v>30</v>
      </c>
      <c r="K123" t="s">
        <v>92</v>
      </c>
      <c r="L123" t="s">
        <v>37</v>
      </c>
      <c r="M123" t="s">
        <v>235</v>
      </c>
      <c r="N123" s="32">
        <v>385.17</v>
      </c>
    </row>
    <row r="124" spans="1:14" x14ac:dyDescent="0.3">
      <c r="A124" t="s">
        <v>390</v>
      </c>
      <c r="B124" s="8">
        <v>45804</v>
      </c>
      <c r="C124" t="s">
        <v>76</v>
      </c>
      <c r="D124" t="s">
        <v>19</v>
      </c>
      <c r="E124" t="s">
        <v>11</v>
      </c>
      <c r="F124" t="s">
        <v>26</v>
      </c>
      <c r="G124">
        <v>1</v>
      </c>
      <c r="H124" s="32">
        <v>137.13</v>
      </c>
      <c r="I124" s="33">
        <v>10</v>
      </c>
      <c r="J124" t="s">
        <v>32</v>
      </c>
      <c r="K124" t="s">
        <v>77</v>
      </c>
      <c r="L124" t="s">
        <v>37</v>
      </c>
      <c r="M124" t="s">
        <v>283</v>
      </c>
      <c r="N124" s="32">
        <v>123.417</v>
      </c>
    </row>
    <row r="125" spans="1:14" x14ac:dyDescent="0.3">
      <c r="A125" t="s">
        <v>391</v>
      </c>
      <c r="B125" s="8">
        <v>45701</v>
      </c>
      <c r="C125" t="s">
        <v>103</v>
      </c>
      <c r="D125" t="s">
        <v>20</v>
      </c>
      <c r="E125" t="s">
        <v>12</v>
      </c>
      <c r="F125" t="s">
        <v>25</v>
      </c>
      <c r="G125">
        <v>3</v>
      </c>
      <c r="H125" s="32">
        <v>133.12</v>
      </c>
      <c r="I125" s="33">
        <v>0</v>
      </c>
      <c r="J125" t="s">
        <v>32</v>
      </c>
      <c r="K125" t="s">
        <v>77</v>
      </c>
      <c r="L125" t="s">
        <v>38</v>
      </c>
      <c r="M125" t="s">
        <v>22</v>
      </c>
      <c r="N125" s="32">
        <v>399.36</v>
      </c>
    </row>
    <row r="126" spans="1:14" x14ac:dyDescent="0.3">
      <c r="A126" t="s">
        <v>393</v>
      </c>
      <c r="B126" s="8">
        <v>45867</v>
      </c>
      <c r="C126" t="s">
        <v>127</v>
      </c>
      <c r="D126" t="s">
        <v>20</v>
      </c>
      <c r="E126" t="s">
        <v>7</v>
      </c>
      <c r="F126" t="s">
        <v>27</v>
      </c>
      <c r="G126">
        <v>1</v>
      </c>
      <c r="H126" s="32">
        <v>407.7</v>
      </c>
      <c r="I126" s="33">
        <v>20</v>
      </c>
      <c r="J126" t="s">
        <v>30</v>
      </c>
      <c r="K126" t="s">
        <v>92</v>
      </c>
      <c r="L126" t="s">
        <v>37</v>
      </c>
      <c r="M126" t="s">
        <v>347</v>
      </c>
      <c r="N126" s="32">
        <v>326.16000000000003</v>
      </c>
    </row>
    <row r="127" spans="1:14" x14ac:dyDescent="0.3">
      <c r="A127" t="s">
        <v>395</v>
      </c>
      <c r="B127" s="8">
        <v>45787</v>
      </c>
      <c r="C127" t="s">
        <v>103</v>
      </c>
      <c r="D127" t="s">
        <v>16</v>
      </c>
      <c r="E127" t="s">
        <v>12</v>
      </c>
      <c r="F127" t="s">
        <v>25</v>
      </c>
      <c r="G127">
        <v>2</v>
      </c>
      <c r="H127" s="32">
        <v>119.6</v>
      </c>
      <c r="I127" s="33">
        <v>0</v>
      </c>
      <c r="J127" t="s">
        <v>31</v>
      </c>
      <c r="K127" t="s">
        <v>87</v>
      </c>
      <c r="L127" t="s">
        <v>38</v>
      </c>
      <c r="M127" t="s">
        <v>235</v>
      </c>
      <c r="N127" s="32">
        <v>239.2</v>
      </c>
    </row>
    <row r="128" spans="1:14" x14ac:dyDescent="0.3">
      <c r="A128" t="s">
        <v>396</v>
      </c>
      <c r="B128" s="8">
        <v>45701</v>
      </c>
      <c r="C128" t="s">
        <v>121</v>
      </c>
      <c r="D128" t="s">
        <v>18</v>
      </c>
      <c r="E128" t="s">
        <v>6</v>
      </c>
      <c r="F128" t="s">
        <v>26</v>
      </c>
      <c r="G128">
        <v>1</v>
      </c>
      <c r="H128" s="32">
        <v>840.22</v>
      </c>
      <c r="I128" s="33">
        <v>15</v>
      </c>
      <c r="J128" t="s">
        <v>30</v>
      </c>
      <c r="K128" t="s">
        <v>82</v>
      </c>
      <c r="L128" t="s">
        <v>37</v>
      </c>
      <c r="M128" t="s">
        <v>361</v>
      </c>
      <c r="N128" s="32">
        <v>714.18700000000001</v>
      </c>
    </row>
    <row r="129" spans="1:14" x14ac:dyDescent="0.3">
      <c r="A129" t="s">
        <v>397</v>
      </c>
      <c r="B129" s="8">
        <v>45816</v>
      </c>
      <c r="C129" t="s">
        <v>81</v>
      </c>
      <c r="D129" t="s">
        <v>16</v>
      </c>
      <c r="E129" t="s">
        <v>6</v>
      </c>
      <c r="F129" t="s">
        <v>26</v>
      </c>
      <c r="G129">
        <v>2</v>
      </c>
      <c r="H129" s="32">
        <v>705.55</v>
      </c>
      <c r="I129" s="33">
        <v>20</v>
      </c>
      <c r="J129" t="s">
        <v>32</v>
      </c>
      <c r="K129" t="s">
        <v>82</v>
      </c>
      <c r="L129" t="s">
        <v>37</v>
      </c>
      <c r="M129" t="s">
        <v>294</v>
      </c>
      <c r="N129" s="32">
        <v>1128.8800000000001</v>
      </c>
    </row>
    <row r="130" spans="1:14" x14ac:dyDescent="0.3">
      <c r="A130" t="s">
        <v>398</v>
      </c>
      <c r="B130" s="8">
        <v>45709</v>
      </c>
      <c r="C130" t="s">
        <v>121</v>
      </c>
      <c r="D130" t="s">
        <v>17</v>
      </c>
      <c r="E130" t="s">
        <v>8</v>
      </c>
      <c r="F130" t="s">
        <v>25</v>
      </c>
      <c r="G130">
        <v>1</v>
      </c>
      <c r="H130" s="32">
        <v>633.07000000000005</v>
      </c>
      <c r="I130" s="33">
        <v>10</v>
      </c>
      <c r="J130" t="s">
        <v>33</v>
      </c>
      <c r="K130" t="s">
        <v>87</v>
      </c>
      <c r="L130" t="s">
        <v>38</v>
      </c>
      <c r="M130" t="s">
        <v>400</v>
      </c>
      <c r="N130" s="32">
        <v>569.76300000000003</v>
      </c>
    </row>
    <row r="131" spans="1:14" x14ac:dyDescent="0.3">
      <c r="A131" t="s">
        <v>401</v>
      </c>
      <c r="B131" s="8">
        <v>45742</v>
      </c>
      <c r="C131" t="s">
        <v>107</v>
      </c>
      <c r="D131" t="s">
        <v>18</v>
      </c>
      <c r="E131" t="s">
        <v>5</v>
      </c>
      <c r="F131" t="s">
        <v>25</v>
      </c>
      <c r="G131">
        <v>1</v>
      </c>
      <c r="H131" s="32">
        <v>893.53</v>
      </c>
      <c r="I131" s="33">
        <v>0</v>
      </c>
      <c r="J131" t="s">
        <v>31</v>
      </c>
      <c r="K131" t="s">
        <v>77</v>
      </c>
      <c r="L131" t="s">
        <v>39</v>
      </c>
      <c r="M131" t="s">
        <v>166</v>
      </c>
      <c r="N131" s="32">
        <v>893.53</v>
      </c>
    </row>
    <row r="132" spans="1:14" x14ac:dyDescent="0.3">
      <c r="A132" t="s">
        <v>403</v>
      </c>
      <c r="B132" s="8">
        <v>45898</v>
      </c>
      <c r="C132" t="s">
        <v>86</v>
      </c>
      <c r="D132" t="s">
        <v>17</v>
      </c>
      <c r="E132" t="s">
        <v>11</v>
      </c>
      <c r="F132" t="s">
        <v>26</v>
      </c>
      <c r="G132">
        <v>1</v>
      </c>
      <c r="H132" s="32">
        <v>143.97</v>
      </c>
      <c r="I132" s="33">
        <v>10</v>
      </c>
      <c r="J132" t="s">
        <v>32</v>
      </c>
      <c r="K132" t="s">
        <v>77</v>
      </c>
      <c r="L132" t="s">
        <v>37</v>
      </c>
      <c r="M132" t="s">
        <v>166</v>
      </c>
      <c r="N132" s="32">
        <v>129.57300000000001</v>
      </c>
    </row>
    <row r="133" spans="1:14" x14ac:dyDescent="0.3">
      <c r="A133" t="s">
        <v>404</v>
      </c>
      <c r="B133" s="8">
        <v>45740</v>
      </c>
      <c r="C133" t="s">
        <v>127</v>
      </c>
      <c r="D133" t="s">
        <v>21</v>
      </c>
      <c r="E133" t="s">
        <v>6</v>
      </c>
      <c r="F133" t="s">
        <v>26</v>
      </c>
      <c r="G133">
        <v>2</v>
      </c>
      <c r="H133" s="32">
        <v>783.64</v>
      </c>
      <c r="I133" s="33">
        <v>20</v>
      </c>
      <c r="J133" t="s">
        <v>30</v>
      </c>
      <c r="K133" t="s">
        <v>92</v>
      </c>
      <c r="L133" t="s">
        <v>37</v>
      </c>
      <c r="M133" t="s">
        <v>297</v>
      </c>
      <c r="N133" s="32">
        <v>1253.8240000000001</v>
      </c>
    </row>
    <row r="134" spans="1:14" x14ac:dyDescent="0.3">
      <c r="A134" t="s">
        <v>406</v>
      </c>
      <c r="B134" s="8">
        <v>45922</v>
      </c>
      <c r="C134" t="s">
        <v>91</v>
      </c>
      <c r="D134" t="s">
        <v>20</v>
      </c>
      <c r="E134" t="s">
        <v>7</v>
      </c>
      <c r="F134" t="s">
        <v>27</v>
      </c>
      <c r="G134">
        <v>2</v>
      </c>
      <c r="H134" s="32">
        <v>388.77</v>
      </c>
      <c r="I134" s="33">
        <v>20</v>
      </c>
      <c r="J134" t="s">
        <v>31</v>
      </c>
      <c r="K134" t="s">
        <v>87</v>
      </c>
      <c r="L134" t="s">
        <v>37</v>
      </c>
      <c r="M134" t="s">
        <v>408</v>
      </c>
      <c r="N134" s="32">
        <v>622.03200000000004</v>
      </c>
    </row>
    <row r="135" spans="1:14" x14ac:dyDescent="0.3">
      <c r="A135" t="s">
        <v>409</v>
      </c>
      <c r="B135" s="8">
        <v>45771</v>
      </c>
      <c r="C135" t="s">
        <v>86</v>
      </c>
      <c r="D135" t="s">
        <v>20</v>
      </c>
      <c r="E135" t="s">
        <v>13</v>
      </c>
      <c r="F135" t="s">
        <v>28</v>
      </c>
      <c r="G135">
        <v>1</v>
      </c>
      <c r="H135" s="32">
        <v>90.84</v>
      </c>
      <c r="I135" s="33">
        <v>5</v>
      </c>
      <c r="J135" t="s">
        <v>33</v>
      </c>
      <c r="K135" t="s">
        <v>77</v>
      </c>
      <c r="L135" t="s">
        <v>39</v>
      </c>
      <c r="M135" t="s">
        <v>352</v>
      </c>
      <c r="N135" s="32">
        <v>86.298000000000002</v>
      </c>
    </row>
    <row r="136" spans="1:14" x14ac:dyDescent="0.3">
      <c r="A136" t="s">
        <v>411</v>
      </c>
      <c r="B136" s="8">
        <v>45849</v>
      </c>
      <c r="C136" t="s">
        <v>107</v>
      </c>
      <c r="D136" t="s">
        <v>16</v>
      </c>
      <c r="E136" t="s">
        <v>7</v>
      </c>
      <c r="F136" t="s">
        <v>27</v>
      </c>
      <c r="G136">
        <v>1</v>
      </c>
      <c r="H136" s="32">
        <v>482.43</v>
      </c>
      <c r="I136" s="33">
        <v>0</v>
      </c>
      <c r="J136" t="s">
        <v>30</v>
      </c>
      <c r="K136" t="s">
        <v>82</v>
      </c>
      <c r="L136" t="s">
        <v>37</v>
      </c>
      <c r="M136" t="s">
        <v>115</v>
      </c>
      <c r="N136" s="32">
        <v>482.43</v>
      </c>
    </row>
    <row r="137" spans="1:14" x14ac:dyDescent="0.3">
      <c r="A137" t="s">
        <v>413</v>
      </c>
      <c r="B137" s="8">
        <v>45729</v>
      </c>
      <c r="C137" t="s">
        <v>99</v>
      </c>
      <c r="D137" t="s">
        <v>19</v>
      </c>
      <c r="E137" t="s">
        <v>10</v>
      </c>
      <c r="F137" t="s">
        <v>25</v>
      </c>
      <c r="G137">
        <v>1</v>
      </c>
      <c r="H137" s="32">
        <v>387.6</v>
      </c>
      <c r="I137" s="33">
        <v>0</v>
      </c>
      <c r="J137" t="s">
        <v>33</v>
      </c>
      <c r="K137" t="s">
        <v>92</v>
      </c>
      <c r="L137" t="s">
        <v>39</v>
      </c>
      <c r="M137" t="s">
        <v>192</v>
      </c>
      <c r="N137" s="32">
        <v>387.6</v>
      </c>
    </row>
    <row r="138" spans="1:14" x14ac:dyDescent="0.3">
      <c r="A138" t="s">
        <v>415</v>
      </c>
      <c r="B138" s="8">
        <v>45928</v>
      </c>
      <c r="C138" t="s">
        <v>76</v>
      </c>
      <c r="D138" t="s">
        <v>16</v>
      </c>
      <c r="E138" t="s">
        <v>9</v>
      </c>
      <c r="F138" t="s">
        <v>27</v>
      </c>
      <c r="G138">
        <v>3</v>
      </c>
      <c r="H138" s="32">
        <v>186.7</v>
      </c>
      <c r="I138" s="33">
        <v>0</v>
      </c>
      <c r="J138" t="s">
        <v>30</v>
      </c>
      <c r="K138" t="s">
        <v>92</v>
      </c>
      <c r="L138" t="s">
        <v>39</v>
      </c>
      <c r="M138" t="s">
        <v>320</v>
      </c>
      <c r="N138" s="32">
        <v>560.1</v>
      </c>
    </row>
    <row r="139" spans="1:14" x14ac:dyDescent="0.3">
      <c r="A139" t="s">
        <v>417</v>
      </c>
      <c r="B139" s="8">
        <v>45892</v>
      </c>
      <c r="C139" t="s">
        <v>76</v>
      </c>
      <c r="D139" t="s">
        <v>18</v>
      </c>
      <c r="E139" t="s">
        <v>9</v>
      </c>
      <c r="F139" t="s">
        <v>27</v>
      </c>
      <c r="G139">
        <v>1</v>
      </c>
      <c r="H139" s="32">
        <v>197.73</v>
      </c>
      <c r="I139" s="33">
        <v>10</v>
      </c>
      <c r="J139" t="s">
        <v>33</v>
      </c>
      <c r="K139" t="s">
        <v>82</v>
      </c>
      <c r="L139" t="s">
        <v>37</v>
      </c>
      <c r="M139" t="s">
        <v>418</v>
      </c>
      <c r="N139" s="32">
        <v>177.95699999999999</v>
      </c>
    </row>
    <row r="140" spans="1:14" x14ac:dyDescent="0.3">
      <c r="A140" t="s">
        <v>419</v>
      </c>
      <c r="B140" s="8">
        <v>45781</v>
      </c>
      <c r="C140" t="s">
        <v>114</v>
      </c>
      <c r="D140" t="s">
        <v>21</v>
      </c>
      <c r="E140" t="s">
        <v>14</v>
      </c>
      <c r="F140" t="s">
        <v>28</v>
      </c>
      <c r="G140">
        <v>1</v>
      </c>
      <c r="H140" s="32">
        <v>57.95</v>
      </c>
      <c r="I140" s="33">
        <v>15</v>
      </c>
      <c r="J140" t="s">
        <v>33</v>
      </c>
      <c r="K140" t="s">
        <v>87</v>
      </c>
      <c r="L140" t="s">
        <v>38</v>
      </c>
      <c r="M140" t="s">
        <v>420</v>
      </c>
      <c r="N140" s="32">
        <v>49.2575</v>
      </c>
    </row>
    <row r="141" spans="1:14" x14ac:dyDescent="0.3">
      <c r="A141" t="s">
        <v>421</v>
      </c>
      <c r="B141" s="8">
        <v>45917</v>
      </c>
      <c r="C141" t="s">
        <v>107</v>
      </c>
      <c r="D141" t="s">
        <v>18</v>
      </c>
      <c r="E141" t="s">
        <v>13</v>
      </c>
      <c r="F141" t="s">
        <v>28</v>
      </c>
      <c r="G141">
        <v>2</v>
      </c>
      <c r="H141" s="32">
        <v>98.69</v>
      </c>
      <c r="I141" s="33">
        <v>20</v>
      </c>
      <c r="J141" t="s">
        <v>32</v>
      </c>
      <c r="K141" t="s">
        <v>92</v>
      </c>
      <c r="L141" t="s">
        <v>38</v>
      </c>
      <c r="M141" t="s">
        <v>423</v>
      </c>
      <c r="N141" s="32">
        <v>157.904</v>
      </c>
    </row>
    <row r="142" spans="1:14" x14ac:dyDescent="0.3">
      <c r="A142" t="s">
        <v>424</v>
      </c>
      <c r="B142" s="8">
        <v>45692</v>
      </c>
      <c r="C142" t="s">
        <v>81</v>
      </c>
      <c r="D142" t="s">
        <v>17</v>
      </c>
      <c r="E142" t="s">
        <v>7</v>
      </c>
      <c r="F142" t="s">
        <v>27</v>
      </c>
      <c r="G142">
        <v>1</v>
      </c>
      <c r="H142" s="32">
        <v>379.71</v>
      </c>
      <c r="I142" s="33">
        <v>15</v>
      </c>
      <c r="J142" t="s">
        <v>33</v>
      </c>
      <c r="K142" t="s">
        <v>87</v>
      </c>
      <c r="L142" t="s">
        <v>37</v>
      </c>
      <c r="M142" t="s">
        <v>211</v>
      </c>
      <c r="N142" s="32">
        <v>322.75349999999997</v>
      </c>
    </row>
    <row r="143" spans="1:14" x14ac:dyDescent="0.3">
      <c r="A143" t="s">
        <v>425</v>
      </c>
      <c r="B143" s="8">
        <v>45747</v>
      </c>
      <c r="C143" t="s">
        <v>99</v>
      </c>
      <c r="D143" t="s">
        <v>17</v>
      </c>
      <c r="E143" t="s">
        <v>10</v>
      </c>
      <c r="F143" t="s">
        <v>25</v>
      </c>
      <c r="G143">
        <v>1</v>
      </c>
      <c r="H143" s="32">
        <v>344.62</v>
      </c>
      <c r="I143" s="33">
        <v>0</v>
      </c>
      <c r="J143" t="s">
        <v>31</v>
      </c>
      <c r="K143" t="s">
        <v>92</v>
      </c>
      <c r="L143" t="s">
        <v>39</v>
      </c>
      <c r="M143" t="s">
        <v>427</v>
      </c>
      <c r="N143" s="32">
        <v>344.62</v>
      </c>
    </row>
    <row r="144" spans="1:14" x14ac:dyDescent="0.3">
      <c r="A144" t="s">
        <v>428</v>
      </c>
      <c r="B144" s="8">
        <v>45760</v>
      </c>
      <c r="C144" t="s">
        <v>86</v>
      </c>
      <c r="D144" t="s">
        <v>16</v>
      </c>
      <c r="E144" t="s">
        <v>10</v>
      </c>
      <c r="F144" t="s">
        <v>25</v>
      </c>
      <c r="G144">
        <v>1</v>
      </c>
      <c r="H144" s="32">
        <v>318.83</v>
      </c>
      <c r="I144" s="33">
        <v>10</v>
      </c>
      <c r="J144" t="s">
        <v>32</v>
      </c>
      <c r="K144" t="s">
        <v>77</v>
      </c>
      <c r="L144" t="s">
        <v>37</v>
      </c>
      <c r="M144" t="s">
        <v>430</v>
      </c>
      <c r="N144" s="32">
        <v>286.947</v>
      </c>
    </row>
    <row r="145" spans="1:14" x14ac:dyDescent="0.3">
      <c r="A145" t="s">
        <v>431</v>
      </c>
      <c r="B145" s="8">
        <v>45840</v>
      </c>
      <c r="C145" t="s">
        <v>86</v>
      </c>
      <c r="D145" t="s">
        <v>16</v>
      </c>
      <c r="E145" t="s">
        <v>10</v>
      </c>
      <c r="F145" t="s">
        <v>25</v>
      </c>
      <c r="G145">
        <v>2</v>
      </c>
      <c r="H145" s="32">
        <v>331.72</v>
      </c>
      <c r="I145" s="33">
        <v>0</v>
      </c>
      <c r="J145" t="s">
        <v>30</v>
      </c>
      <c r="K145" t="s">
        <v>77</v>
      </c>
      <c r="L145" t="s">
        <v>37</v>
      </c>
      <c r="M145" t="s">
        <v>108</v>
      </c>
      <c r="N145" s="32">
        <v>663.44</v>
      </c>
    </row>
    <row r="146" spans="1:14" x14ac:dyDescent="0.3">
      <c r="A146" t="s">
        <v>433</v>
      </c>
      <c r="B146" s="8">
        <v>45753</v>
      </c>
      <c r="C146" t="s">
        <v>99</v>
      </c>
      <c r="D146" t="s">
        <v>16</v>
      </c>
      <c r="E146" t="s">
        <v>11</v>
      </c>
      <c r="F146" t="s">
        <v>26</v>
      </c>
      <c r="G146">
        <v>3</v>
      </c>
      <c r="H146" s="32">
        <v>149.5</v>
      </c>
      <c r="I146" s="33">
        <v>20</v>
      </c>
      <c r="J146" t="s">
        <v>30</v>
      </c>
      <c r="K146" t="s">
        <v>92</v>
      </c>
      <c r="L146" t="s">
        <v>39</v>
      </c>
      <c r="M146" t="s">
        <v>169</v>
      </c>
      <c r="N146" s="32">
        <v>358.8</v>
      </c>
    </row>
    <row r="147" spans="1:14" x14ac:dyDescent="0.3">
      <c r="A147" t="s">
        <v>435</v>
      </c>
      <c r="B147" s="8">
        <v>45750</v>
      </c>
      <c r="C147" t="s">
        <v>91</v>
      </c>
      <c r="D147" t="s">
        <v>16</v>
      </c>
      <c r="E147" t="s">
        <v>12</v>
      </c>
      <c r="F147" t="s">
        <v>25</v>
      </c>
      <c r="G147">
        <v>1</v>
      </c>
      <c r="H147" s="32">
        <v>137.85</v>
      </c>
      <c r="I147" s="33">
        <v>0</v>
      </c>
      <c r="J147" t="s">
        <v>33</v>
      </c>
      <c r="K147" t="s">
        <v>87</v>
      </c>
      <c r="L147" t="s">
        <v>38</v>
      </c>
      <c r="M147" t="s">
        <v>122</v>
      </c>
      <c r="N147" s="32">
        <v>137.85</v>
      </c>
    </row>
    <row r="148" spans="1:14" x14ac:dyDescent="0.3">
      <c r="A148" t="s">
        <v>437</v>
      </c>
      <c r="B148" s="8">
        <v>45743</v>
      </c>
      <c r="C148" t="s">
        <v>86</v>
      </c>
      <c r="D148" t="s">
        <v>18</v>
      </c>
      <c r="E148" t="s">
        <v>14</v>
      </c>
      <c r="F148" t="s">
        <v>28</v>
      </c>
      <c r="G148">
        <v>1</v>
      </c>
      <c r="H148" s="32">
        <v>59.37</v>
      </c>
      <c r="I148" s="33">
        <v>0</v>
      </c>
      <c r="J148" t="s">
        <v>30</v>
      </c>
      <c r="K148" t="s">
        <v>77</v>
      </c>
      <c r="L148" t="s">
        <v>39</v>
      </c>
      <c r="M148" t="s">
        <v>300</v>
      </c>
      <c r="N148" s="32">
        <v>59.37</v>
      </c>
    </row>
    <row r="149" spans="1:14" x14ac:dyDescent="0.3">
      <c r="A149" t="s">
        <v>439</v>
      </c>
      <c r="B149" s="8">
        <v>45844</v>
      </c>
      <c r="C149" t="s">
        <v>103</v>
      </c>
      <c r="D149" t="s">
        <v>20</v>
      </c>
      <c r="E149" t="s">
        <v>10</v>
      </c>
      <c r="F149" t="s">
        <v>25</v>
      </c>
      <c r="G149">
        <v>1</v>
      </c>
      <c r="H149" s="32">
        <v>384.46</v>
      </c>
      <c r="I149" s="33">
        <v>0</v>
      </c>
      <c r="J149" t="s">
        <v>32</v>
      </c>
      <c r="K149" t="s">
        <v>92</v>
      </c>
      <c r="L149" t="s">
        <v>38</v>
      </c>
      <c r="M149" t="s">
        <v>175</v>
      </c>
      <c r="N149" s="32">
        <v>384.46</v>
      </c>
    </row>
    <row r="150" spans="1:14" x14ac:dyDescent="0.3">
      <c r="A150" t="s">
        <v>441</v>
      </c>
      <c r="B150" s="8">
        <v>45843</v>
      </c>
      <c r="C150" t="s">
        <v>127</v>
      </c>
      <c r="D150" t="s">
        <v>20</v>
      </c>
      <c r="E150" t="s">
        <v>12</v>
      </c>
      <c r="F150" t="s">
        <v>25</v>
      </c>
      <c r="G150">
        <v>1</v>
      </c>
      <c r="H150" s="32">
        <v>127.35</v>
      </c>
      <c r="I150" s="33">
        <v>10</v>
      </c>
      <c r="J150" t="s">
        <v>31</v>
      </c>
      <c r="K150" t="s">
        <v>77</v>
      </c>
      <c r="L150" t="s">
        <v>39</v>
      </c>
      <c r="M150" t="s">
        <v>100</v>
      </c>
      <c r="N150" s="32">
        <v>114.61499999999999</v>
      </c>
    </row>
    <row r="151" spans="1:14" x14ac:dyDescent="0.3">
      <c r="A151" t="s">
        <v>442</v>
      </c>
      <c r="B151" s="8">
        <v>45728</v>
      </c>
      <c r="C151" t="s">
        <v>86</v>
      </c>
      <c r="D151" t="s">
        <v>18</v>
      </c>
      <c r="E151" t="s">
        <v>7</v>
      </c>
      <c r="F151" t="s">
        <v>27</v>
      </c>
      <c r="G151">
        <v>1</v>
      </c>
      <c r="H151" s="32">
        <v>386.07</v>
      </c>
      <c r="I151" s="33">
        <v>0</v>
      </c>
      <c r="J151" t="s">
        <v>30</v>
      </c>
      <c r="K151" t="s">
        <v>82</v>
      </c>
      <c r="L151" t="s">
        <v>38</v>
      </c>
      <c r="M151" t="s">
        <v>277</v>
      </c>
      <c r="N151" s="32">
        <v>386.07</v>
      </c>
    </row>
    <row r="152" spans="1:14" x14ac:dyDescent="0.3">
      <c r="A152" t="s">
        <v>444</v>
      </c>
      <c r="B152" s="8">
        <v>45856</v>
      </c>
      <c r="C152" t="s">
        <v>76</v>
      </c>
      <c r="D152" t="s">
        <v>16</v>
      </c>
      <c r="E152" t="s">
        <v>10</v>
      </c>
      <c r="F152" t="s">
        <v>25</v>
      </c>
      <c r="G152">
        <v>2</v>
      </c>
      <c r="H152" s="32">
        <v>358.67</v>
      </c>
      <c r="I152" s="33">
        <v>20</v>
      </c>
      <c r="J152" t="s">
        <v>30</v>
      </c>
      <c r="K152" t="s">
        <v>77</v>
      </c>
      <c r="L152" t="s">
        <v>38</v>
      </c>
      <c r="M152" t="s">
        <v>150</v>
      </c>
      <c r="N152" s="32">
        <v>573.87199999999996</v>
      </c>
    </row>
    <row r="153" spans="1:14" x14ac:dyDescent="0.3">
      <c r="A153" t="s">
        <v>446</v>
      </c>
      <c r="B153" s="8">
        <v>45909</v>
      </c>
      <c r="C153" t="s">
        <v>76</v>
      </c>
      <c r="D153" t="s">
        <v>21</v>
      </c>
      <c r="E153" t="s">
        <v>5</v>
      </c>
      <c r="F153" t="s">
        <v>25</v>
      </c>
      <c r="G153">
        <v>1</v>
      </c>
      <c r="H153" s="32">
        <v>1072.6600000000001</v>
      </c>
      <c r="I153" s="33">
        <v>20</v>
      </c>
      <c r="J153" t="s">
        <v>33</v>
      </c>
      <c r="K153" t="s">
        <v>77</v>
      </c>
      <c r="L153" t="s">
        <v>37</v>
      </c>
      <c r="M153" t="s">
        <v>448</v>
      </c>
      <c r="N153" s="32">
        <v>858.12800000000004</v>
      </c>
    </row>
    <row r="154" spans="1:14" x14ac:dyDescent="0.3">
      <c r="A154" t="s">
        <v>449</v>
      </c>
      <c r="B154" s="8">
        <v>45821</v>
      </c>
      <c r="C154" t="s">
        <v>76</v>
      </c>
      <c r="D154" t="s">
        <v>19</v>
      </c>
      <c r="E154" t="s">
        <v>11</v>
      </c>
      <c r="F154" t="s">
        <v>26</v>
      </c>
      <c r="G154">
        <v>5</v>
      </c>
      <c r="H154" s="32">
        <v>165.39</v>
      </c>
      <c r="I154" s="33">
        <v>10</v>
      </c>
      <c r="J154" t="s">
        <v>30</v>
      </c>
      <c r="K154" t="s">
        <v>87</v>
      </c>
      <c r="L154" t="s">
        <v>37</v>
      </c>
      <c r="M154" t="s">
        <v>214</v>
      </c>
      <c r="N154" s="32">
        <v>744.255</v>
      </c>
    </row>
    <row r="155" spans="1:14" x14ac:dyDescent="0.3">
      <c r="A155" t="s">
        <v>451</v>
      </c>
      <c r="B155" s="8">
        <v>45724</v>
      </c>
      <c r="C155" t="s">
        <v>76</v>
      </c>
      <c r="D155" t="s">
        <v>20</v>
      </c>
      <c r="E155" t="s">
        <v>13</v>
      </c>
      <c r="F155" t="s">
        <v>28</v>
      </c>
      <c r="G155">
        <v>2</v>
      </c>
      <c r="H155" s="32">
        <v>91.52</v>
      </c>
      <c r="I155" s="33">
        <v>0</v>
      </c>
      <c r="J155" t="s">
        <v>32</v>
      </c>
      <c r="K155" t="s">
        <v>77</v>
      </c>
      <c r="L155" t="s">
        <v>38</v>
      </c>
      <c r="M155" t="s">
        <v>181</v>
      </c>
      <c r="N155" s="32">
        <v>183.04</v>
      </c>
    </row>
    <row r="156" spans="1:14" x14ac:dyDescent="0.3">
      <c r="A156" t="s">
        <v>452</v>
      </c>
      <c r="B156" s="8">
        <v>45820</v>
      </c>
      <c r="C156" t="s">
        <v>99</v>
      </c>
      <c r="D156" t="s">
        <v>18</v>
      </c>
      <c r="E156" t="s">
        <v>6</v>
      </c>
      <c r="F156" t="s">
        <v>26</v>
      </c>
      <c r="G156">
        <v>3</v>
      </c>
      <c r="H156" s="32">
        <v>716.38</v>
      </c>
      <c r="I156" s="33">
        <v>15</v>
      </c>
      <c r="J156" t="s">
        <v>30</v>
      </c>
      <c r="K156" t="s">
        <v>82</v>
      </c>
      <c r="L156" t="s">
        <v>37</v>
      </c>
      <c r="M156" t="s">
        <v>453</v>
      </c>
      <c r="N156" s="32">
        <v>1826.769</v>
      </c>
    </row>
    <row r="157" spans="1:14" x14ac:dyDescent="0.3">
      <c r="A157" t="s">
        <v>454</v>
      </c>
      <c r="B157" s="8">
        <v>45686</v>
      </c>
      <c r="C157" t="s">
        <v>121</v>
      </c>
      <c r="D157" t="s">
        <v>21</v>
      </c>
      <c r="E157" t="s">
        <v>8</v>
      </c>
      <c r="F157" t="s">
        <v>25</v>
      </c>
      <c r="G157">
        <v>1</v>
      </c>
      <c r="H157" s="32">
        <v>732.99</v>
      </c>
      <c r="I157" s="33">
        <v>0</v>
      </c>
      <c r="J157" t="s">
        <v>31</v>
      </c>
      <c r="K157" t="s">
        <v>82</v>
      </c>
      <c r="L157" t="s">
        <v>37</v>
      </c>
      <c r="M157" t="s">
        <v>247</v>
      </c>
      <c r="N157" s="32">
        <v>732.99</v>
      </c>
    </row>
    <row r="158" spans="1:14" x14ac:dyDescent="0.3">
      <c r="A158" t="s">
        <v>455</v>
      </c>
      <c r="B158" s="8">
        <v>45803</v>
      </c>
      <c r="C158" t="s">
        <v>91</v>
      </c>
      <c r="D158" t="s">
        <v>21</v>
      </c>
      <c r="E158" t="s">
        <v>9</v>
      </c>
      <c r="F158" t="s">
        <v>27</v>
      </c>
      <c r="G158">
        <v>1</v>
      </c>
      <c r="H158" s="32">
        <v>204.34</v>
      </c>
      <c r="I158" s="33">
        <v>15</v>
      </c>
      <c r="J158" t="s">
        <v>30</v>
      </c>
      <c r="K158" t="s">
        <v>82</v>
      </c>
      <c r="L158" t="s">
        <v>37</v>
      </c>
      <c r="M158" t="s">
        <v>238</v>
      </c>
      <c r="N158" s="32">
        <v>173.68899999999999</v>
      </c>
    </row>
    <row r="159" spans="1:14" x14ac:dyDescent="0.3">
      <c r="A159" t="s">
        <v>457</v>
      </c>
      <c r="B159" s="8">
        <v>45744</v>
      </c>
      <c r="C159" t="s">
        <v>127</v>
      </c>
      <c r="D159" t="s">
        <v>21</v>
      </c>
      <c r="E159" t="s">
        <v>5</v>
      </c>
      <c r="F159" t="s">
        <v>25</v>
      </c>
      <c r="G159">
        <v>2</v>
      </c>
      <c r="H159" s="32">
        <v>974.36</v>
      </c>
      <c r="I159" s="33">
        <v>0</v>
      </c>
      <c r="J159" t="s">
        <v>30</v>
      </c>
      <c r="K159" t="s">
        <v>92</v>
      </c>
      <c r="L159" t="s">
        <v>38</v>
      </c>
      <c r="M159" t="s">
        <v>458</v>
      </c>
      <c r="N159" s="32">
        <v>1948.72</v>
      </c>
    </row>
    <row r="160" spans="1:14" x14ac:dyDescent="0.3">
      <c r="A160" t="s">
        <v>459</v>
      </c>
      <c r="B160" s="8">
        <v>45793</v>
      </c>
      <c r="C160" t="s">
        <v>127</v>
      </c>
      <c r="D160" t="s">
        <v>18</v>
      </c>
      <c r="E160" t="s">
        <v>12</v>
      </c>
      <c r="F160" t="s">
        <v>25</v>
      </c>
      <c r="G160">
        <v>1</v>
      </c>
      <c r="H160" s="32">
        <v>127.24</v>
      </c>
      <c r="I160" s="33">
        <v>10</v>
      </c>
      <c r="J160" t="s">
        <v>33</v>
      </c>
      <c r="K160" t="s">
        <v>77</v>
      </c>
      <c r="L160" t="s">
        <v>37</v>
      </c>
      <c r="M160" t="s">
        <v>96</v>
      </c>
      <c r="N160" s="32">
        <v>114.51600000000001</v>
      </c>
    </row>
    <row r="161" spans="1:14" x14ac:dyDescent="0.3">
      <c r="A161" t="s">
        <v>460</v>
      </c>
      <c r="B161" s="8">
        <v>45865</v>
      </c>
      <c r="C161" t="s">
        <v>99</v>
      </c>
      <c r="D161" t="s">
        <v>20</v>
      </c>
      <c r="E161" t="s">
        <v>14</v>
      </c>
      <c r="F161" t="s">
        <v>28</v>
      </c>
      <c r="G161">
        <v>2</v>
      </c>
      <c r="H161" s="32">
        <v>60.56</v>
      </c>
      <c r="I161" s="33">
        <v>15</v>
      </c>
      <c r="J161" t="s">
        <v>33</v>
      </c>
      <c r="K161" t="s">
        <v>82</v>
      </c>
      <c r="L161" t="s">
        <v>37</v>
      </c>
      <c r="M161" t="s">
        <v>280</v>
      </c>
      <c r="N161" s="32">
        <v>102.952</v>
      </c>
    </row>
    <row r="162" spans="1:14" x14ac:dyDescent="0.3">
      <c r="A162" t="s">
        <v>462</v>
      </c>
      <c r="B162" s="8">
        <v>45731</v>
      </c>
      <c r="C162" t="s">
        <v>86</v>
      </c>
      <c r="D162" t="s">
        <v>17</v>
      </c>
      <c r="E162" t="s">
        <v>6</v>
      </c>
      <c r="F162" t="s">
        <v>26</v>
      </c>
      <c r="G162">
        <v>2</v>
      </c>
      <c r="H162" s="32">
        <v>741.78</v>
      </c>
      <c r="I162" s="33">
        <v>20</v>
      </c>
      <c r="J162" t="s">
        <v>30</v>
      </c>
      <c r="K162" t="s">
        <v>77</v>
      </c>
      <c r="L162" t="s">
        <v>37</v>
      </c>
      <c r="M162" t="s">
        <v>400</v>
      </c>
      <c r="N162" s="32">
        <v>1186.848</v>
      </c>
    </row>
    <row r="163" spans="1:14" x14ac:dyDescent="0.3">
      <c r="A163" t="s">
        <v>464</v>
      </c>
      <c r="B163" s="8">
        <v>45781</v>
      </c>
      <c r="C163" t="s">
        <v>76</v>
      </c>
      <c r="D163" t="s">
        <v>16</v>
      </c>
      <c r="E163" t="s">
        <v>7</v>
      </c>
      <c r="F163" t="s">
        <v>27</v>
      </c>
      <c r="G163">
        <v>2</v>
      </c>
      <c r="H163" s="32">
        <v>389.15</v>
      </c>
      <c r="I163" s="33">
        <v>5</v>
      </c>
      <c r="J163" t="s">
        <v>31</v>
      </c>
      <c r="K163" t="s">
        <v>82</v>
      </c>
      <c r="L163" t="s">
        <v>39</v>
      </c>
      <c r="M163" t="s">
        <v>465</v>
      </c>
      <c r="N163" s="32">
        <v>739.38499999999999</v>
      </c>
    </row>
    <row r="164" spans="1:14" x14ac:dyDescent="0.3">
      <c r="A164" t="s">
        <v>466</v>
      </c>
      <c r="B164" s="8">
        <v>45872</v>
      </c>
      <c r="C164" t="s">
        <v>103</v>
      </c>
      <c r="D164" t="s">
        <v>16</v>
      </c>
      <c r="E164" t="s">
        <v>10</v>
      </c>
      <c r="F164" t="s">
        <v>25</v>
      </c>
      <c r="G164">
        <v>1</v>
      </c>
      <c r="H164" s="32">
        <v>348.61</v>
      </c>
      <c r="I164" s="33">
        <v>10</v>
      </c>
      <c r="J164" t="s">
        <v>30</v>
      </c>
      <c r="K164" t="s">
        <v>82</v>
      </c>
      <c r="L164" t="s">
        <v>37</v>
      </c>
      <c r="M164" t="s">
        <v>214</v>
      </c>
      <c r="N164" s="32">
        <v>313.74900000000002</v>
      </c>
    </row>
    <row r="165" spans="1:14" x14ac:dyDescent="0.3">
      <c r="A165" t="s">
        <v>467</v>
      </c>
      <c r="B165" s="8">
        <v>45815</v>
      </c>
      <c r="C165" t="s">
        <v>107</v>
      </c>
      <c r="D165" t="s">
        <v>20</v>
      </c>
      <c r="E165" t="s">
        <v>11</v>
      </c>
      <c r="F165" t="s">
        <v>26</v>
      </c>
      <c r="G165">
        <v>5</v>
      </c>
      <c r="H165" s="32">
        <v>152.51</v>
      </c>
      <c r="I165" s="33">
        <v>5</v>
      </c>
      <c r="J165" t="s">
        <v>32</v>
      </c>
      <c r="K165" t="s">
        <v>82</v>
      </c>
      <c r="L165" t="s">
        <v>39</v>
      </c>
      <c r="M165" t="s">
        <v>371</v>
      </c>
      <c r="N165" s="32">
        <v>724.42250000000001</v>
      </c>
    </row>
    <row r="166" spans="1:14" x14ac:dyDescent="0.3">
      <c r="A166" t="s">
        <v>469</v>
      </c>
      <c r="B166" s="8">
        <v>45911</v>
      </c>
      <c r="C166" t="s">
        <v>99</v>
      </c>
      <c r="D166" t="s">
        <v>16</v>
      </c>
      <c r="E166" t="s">
        <v>5</v>
      </c>
      <c r="F166" t="s">
        <v>25</v>
      </c>
      <c r="G166">
        <v>1</v>
      </c>
      <c r="H166" s="32">
        <v>867</v>
      </c>
      <c r="I166" s="33">
        <v>10</v>
      </c>
      <c r="J166" t="s">
        <v>33</v>
      </c>
      <c r="K166" t="s">
        <v>92</v>
      </c>
      <c r="L166" t="s">
        <v>38</v>
      </c>
      <c r="M166" t="s">
        <v>142</v>
      </c>
      <c r="N166" s="32">
        <v>780.3</v>
      </c>
    </row>
    <row r="167" spans="1:14" x14ac:dyDescent="0.3">
      <c r="A167" t="s">
        <v>470</v>
      </c>
      <c r="B167" s="8">
        <v>45864</v>
      </c>
      <c r="C167" t="s">
        <v>107</v>
      </c>
      <c r="D167" t="s">
        <v>18</v>
      </c>
      <c r="E167" t="s">
        <v>8</v>
      </c>
      <c r="F167" t="s">
        <v>25</v>
      </c>
      <c r="G167">
        <v>3</v>
      </c>
      <c r="H167" s="32">
        <v>703.22</v>
      </c>
      <c r="I167" s="33">
        <v>0</v>
      </c>
      <c r="J167" t="s">
        <v>31</v>
      </c>
      <c r="K167" t="s">
        <v>87</v>
      </c>
      <c r="L167" t="s">
        <v>37</v>
      </c>
      <c r="M167" t="s">
        <v>274</v>
      </c>
      <c r="N167" s="32">
        <v>2109.66</v>
      </c>
    </row>
    <row r="168" spans="1:14" x14ac:dyDescent="0.3">
      <c r="A168" t="s">
        <v>471</v>
      </c>
      <c r="B168" s="8">
        <v>45801</v>
      </c>
      <c r="C168" t="s">
        <v>127</v>
      </c>
      <c r="D168" t="s">
        <v>20</v>
      </c>
      <c r="E168" t="s">
        <v>12</v>
      </c>
      <c r="F168" t="s">
        <v>25</v>
      </c>
      <c r="G168">
        <v>1</v>
      </c>
      <c r="H168" s="32">
        <v>121.51</v>
      </c>
      <c r="I168" s="33">
        <v>0</v>
      </c>
      <c r="J168" t="s">
        <v>33</v>
      </c>
      <c r="K168" t="s">
        <v>77</v>
      </c>
      <c r="L168" t="s">
        <v>38</v>
      </c>
      <c r="M168" t="s">
        <v>332</v>
      </c>
      <c r="N168" s="32">
        <v>121.51</v>
      </c>
    </row>
    <row r="169" spans="1:14" x14ac:dyDescent="0.3">
      <c r="A169" t="s">
        <v>473</v>
      </c>
      <c r="B169" s="8">
        <v>45731</v>
      </c>
      <c r="C169" t="s">
        <v>127</v>
      </c>
      <c r="D169" t="s">
        <v>19</v>
      </c>
      <c r="E169" t="s">
        <v>7</v>
      </c>
      <c r="F169" t="s">
        <v>27</v>
      </c>
      <c r="G169">
        <v>2</v>
      </c>
      <c r="H169" s="32">
        <v>416.39</v>
      </c>
      <c r="I169" s="33">
        <v>5</v>
      </c>
      <c r="J169" t="s">
        <v>33</v>
      </c>
      <c r="K169" t="s">
        <v>92</v>
      </c>
      <c r="L169" t="s">
        <v>37</v>
      </c>
      <c r="M169" t="s">
        <v>474</v>
      </c>
      <c r="N169" s="32">
        <v>791.14099999999996</v>
      </c>
    </row>
    <row r="170" spans="1:14" x14ac:dyDescent="0.3">
      <c r="A170" t="s">
        <v>475</v>
      </c>
      <c r="B170" s="8">
        <v>45923</v>
      </c>
      <c r="C170" t="s">
        <v>103</v>
      </c>
      <c r="D170" t="s">
        <v>19</v>
      </c>
      <c r="E170" t="s">
        <v>8</v>
      </c>
      <c r="F170" t="s">
        <v>25</v>
      </c>
      <c r="G170">
        <v>2</v>
      </c>
      <c r="H170" s="32">
        <v>715.64</v>
      </c>
      <c r="I170" s="33">
        <v>10</v>
      </c>
      <c r="J170" t="s">
        <v>31</v>
      </c>
      <c r="K170" t="s">
        <v>87</v>
      </c>
      <c r="L170" t="s">
        <v>39</v>
      </c>
      <c r="M170" t="s">
        <v>476</v>
      </c>
      <c r="N170" s="32">
        <v>1288.152</v>
      </c>
    </row>
    <row r="171" spans="1:14" x14ac:dyDescent="0.3">
      <c r="A171" t="s">
        <v>477</v>
      </c>
      <c r="B171" s="8">
        <v>45811</v>
      </c>
      <c r="C171" t="s">
        <v>86</v>
      </c>
      <c r="D171" t="s">
        <v>19</v>
      </c>
      <c r="E171" t="s">
        <v>8</v>
      </c>
      <c r="F171" t="s">
        <v>25</v>
      </c>
      <c r="G171">
        <v>1</v>
      </c>
      <c r="H171" s="32">
        <v>685.18</v>
      </c>
      <c r="I171" s="33">
        <v>20</v>
      </c>
      <c r="J171" t="s">
        <v>32</v>
      </c>
      <c r="K171" t="s">
        <v>87</v>
      </c>
      <c r="L171" t="s">
        <v>38</v>
      </c>
      <c r="M171" t="s">
        <v>131</v>
      </c>
      <c r="N171" s="32">
        <v>548.14400000000001</v>
      </c>
    </row>
    <row r="172" spans="1:14" x14ac:dyDescent="0.3">
      <c r="A172" t="s">
        <v>479</v>
      </c>
      <c r="B172" s="8">
        <v>45871</v>
      </c>
      <c r="C172" t="s">
        <v>91</v>
      </c>
      <c r="D172" t="s">
        <v>17</v>
      </c>
      <c r="E172" t="s">
        <v>10</v>
      </c>
      <c r="F172" t="s">
        <v>25</v>
      </c>
      <c r="G172">
        <v>1</v>
      </c>
      <c r="H172" s="32">
        <v>373.96</v>
      </c>
      <c r="I172" s="33">
        <v>20</v>
      </c>
      <c r="J172" t="s">
        <v>33</v>
      </c>
      <c r="K172" t="s">
        <v>77</v>
      </c>
      <c r="L172" t="s">
        <v>38</v>
      </c>
      <c r="M172" t="s">
        <v>111</v>
      </c>
      <c r="N172" s="32">
        <v>299.16800000000001</v>
      </c>
    </row>
    <row r="173" spans="1:14" x14ac:dyDescent="0.3">
      <c r="A173" t="s">
        <v>481</v>
      </c>
      <c r="B173" s="8">
        <v>45903</v>
      </c>
      <c r="C173" t="s">
        <v>121</v>
      </c>
      <c r="D173" t="s">
        <v>17</v>
      </c>
      <c r="E173" t="s">
        <v>5</v>
      </c>
      <c r="F173" t="s">
        <v>25</v>
      </c>
      <c r="G173">
        <v>2</v>
      </c>
      <c r="H173" s="32">
        <v>1026.33</v>
      </c>
      <c r="I173" s="33">
        <v>15</v>
      </c>
      <c r="J173" t="s">
        <v>32</v>
      </c>
      <c r="K173" t="s">
        <v>82</v>
      </c>
      <c r="L173" t="s">
        <v>37</v>
      </c>
      <c r="M173" t="s">
        <v>483</v>
      </c>
      <c r="N173" s="32">
        <v>1744.761</v>
      </c>
    </row>
    <row r="174" spans="1:14" x14ac:dyDescent="0.3">
      <c r="A174" t="s">
        <v>484</v>
      </c>
      <c r="B174" s="8">
        <v>45755</v>
      </c>
      <c r="C174" t="s">
        <v>99</v>
      </c>
      <c r="D174" t="s">
        <v>16</v>
      </c>
      <c r="E174" t="s">
        <v>10</v>
      </c>
      <c r="F174" t="s">
        <v>25</v>
      </c>
      <c r="G174">
        <v>2</v>
      </c>
      <c r="H174" s="32">
        <v>376.3</v>
      </c>
      <c r="I174" s="33">
        <v>5</v>
      </c>
      <c r="J174" t="s">
        <v>31</v>
      </c>
      <c r="K174" t="s">
        <v>77</v>
      </c>
      <c r="L174" t="s">
        <v>37</v>
      </c>
      <c r="M174" t="s">
        <v>486</v>
      </c>
      <c r="N174" s="32">
        <v>714.97</v>
      </c>
    </row>
    <row r="175" spans="1:14" x14ac:dyDescent="0.3">
      <c r="A175" t="s">
        <v>487</v>
      </c>
      <c r="B175" s="8">
        <v>45899</v>
      </c>
      <c r="C175" t="s">
        <v>103</v>
      </c>
      <c r="D175" t="s">
        <v>19</v>
      </c>
      <c r="E175" t="s">
        <v>6</v>
      </c>
      <c r="F175" t="s">
        <v>26</v>
      </c>
      <c r="G175">
        <v>2</v>
      </c>
      <c r="H175" s="32">
        <v>821.24</v>
      </c>
      <c r="I175" s="33">
        <v>0</v>
      </c>
      <c r="J175" t="s">
        <v>30</v>
      </c>
      <c r="K175" t="s">
        <v>77</v>
      </c>
      <c r="L175" t="s">
        <v>37</v>
      </c>
      <c r="M175" t="s">
        <v>93</v>
      </c>
      <c r="N175" s="32">
        <v>1642.48</v>
      </c>
    </row>
    <row r="176" spans="1:14" x14ac:dyDescent="0.3">
      <c r="A176" t="s">
        <v>489</v>
      </c>
      <c r="B176" s="8">
        <v>45930</v>
      </c>
      <c r="C176" t="s">
        <v>121</v>
      </c>
      <c r="D176" t="s">
        <v>16</v>
      </c>
      <c r="E176" t="s">
        <v>7</v>
      </c>
      <c r="F176" t="s">
        <v>27</v>
      </c>
      <c r="G176">
        <v>4</v>
      </c>
      <c r="H176" s="32">
        <v>426.26</v>
      </c>
      <c r="I176" s="33">
        <v>15</v>
      </c>
      <c r="J176" t="s">
        <v>30</v>
      </c>
      <c r="K176" t="s">
        <v>77</v>
      </c>
      <c r="L176" t="s">
        <v>37</v>
      </c>
      <c r="M176" t="s">
        <v>491</v>
      </c>
      <c r="N176" s="32">
        <v>1449.2840000000001</v>
      </c>
    </row>
    <row r="177" spans="1:14" x14ac:dyDescent="0.3">
      <c r="A177" t="s">
        <v>492</v>
      </c>
      <c r="B177" s="8">
        <v>45810</v>
      </c>
      <c r="C177" t="s">
        <v>81</v>
      </c>
      <c r="D177" t="s">
        <v>17</v>
      </c>
      <c r="E177" t="s">
        <v>9</v>
      </c>
      <c r="F177" t="s">
        <v>27</v>
      </c>
      <c r="G177">
        <v>1</v>
      </c>
      <c r="H177" s="32">
        <v>175.43</v>
      </c>
      <c r="I177" s="33">
        <v>15</v>
      </c>
      <c r="J177" t="s">
        <v>30</v>
      </c>
      <c r="K177" t="s">
        <v>87</v>
      </c>
      <c r="L177" t="s">
        <v>37</v>
      </c>
      <c r="M177" t="s">
        <v>223</v>
      </c>
      <c r="N177" s="32">
        <v>149.1155</v>
      </c>
    </row>
    <row r="178" spans="1:14" x14ac:dyDescent="0.3">
      <c r="A178" t="s">
        <v>494</v>
      </c>
      <c r="B178" s="8">
        <v>45798</v>
      </c>
      <c r="C178" t="s">
        <v>76</v>
      </c>
      <c r="D178" t="s">
        <v>19</v>
      </c>
      <c r="E178" t="s">
        <v>7</v>
      </c>
      <c r="F178" t="s">
        <v>27</v>
      </c>
      <c r="G178">
        <v>2</v>
      </c>
      <c r="H178" s="32">
        <v>476.12</v>
      </c>
      <c r="I178" s="33">
        <v>15</v>
      </c>
      <c r="J178" t="s">
        <v>32</v>
      </c>
      <c r="K178" t="s">
        <v>77</v>
      </c>
      <c r="L178" t="s">
        <v>37</v>
      </c>
      <c r="M178" t="s">
        <v>496</v>
      </c>
      <c r="N178" s="32">
        <v>809.404</v>
      </c>
    </row>
    <row r="179" spans="1:14" x14ac:dyDescent="0.3">
      <c r="A179" t="s">
        <v>497</v>
      </c>
      <c r="B179" s="8">
        <v>45698</v>
      </c>
      <c r="C179" t="s">
        <v>99</v>
      </c>
      <c r="D179" t="s">
        <v>17</v>
      </c>
      <c r="E179" t="s">
        <v>8</v>
      </c>
      <c r="F179" t="s">
        <v>25</v>
      </c>
      <c r="G179">
        <v>1</v>
      </c>
      <c r="H179" s="32">
        <v>631.74</v>
      </c>
      <c r="I179" s="33">
        <v>0</v>
      </c>
      <c r="J179" t="s">
        <v>32</v>
      </c>
      <c r="K179" t="s">
        <v>82</v>
      </c>
      <c r="L179" t="s">
        <v>37</v>
      </c>
      <c r="M179" t="s">
        <v>498</v>
      </c>
      <c r="N179" s="32">
        <v>631.74</v>
      </c>
    </row>
    <row r="180" spans="1:14" x14ac:dyDescent="0.3">
      <c r="A180" t="s">
        <v>499</v>
      </c>
      <c r="B180" s="8">
        <v>45797</v>
      </c>
      <c r="C180" t="s">
        <v>76</v>
      </c>
      <c r="D180" t="s">
        <v>19</v>
      </c>
      <c r="E180" t="s">
        <v>13</v>
      </c>
      <c r="F180" t="s">
        <v>28</v>
      </c>
      <c r="G180">
        <v>1</v>
      </c>
      <c r="H180" s="32">
        <v>93.65</v>
      </c>
      <c r="I180" s="33">
        <v>15</v>
      </c>
      <c r="J180" t="s">
        <v>31</v>
      </c>
      <c r="K180" t="s">
        <v>82</v>
      </c>
      <c r="L180" t="s">
        <v>37</v>
      </c>
      <c r="M180" t="s">
        <v>320</v>
      </c>
      <c r="N180" s="32">
        <v>79.602500000000006</v>
      </c>
    </row>
    <row r="181" spans="1:14" x14ac:dyDescent="0.3">
      <c r="A181" t="s">
        <v>501</v>
      </c>
      <c r="B181" s="8">
        <v>45709</v>
      </c>
      <c r="C181" t="s">
        <v>86</v>
      </c>
      <c r="D181" t="s">
        <v>17</v>
      </c>
      <c r="E181" t="s">
        <v>13</v>
      </c>
      <c r="F181" t="s">
        <v>28</v>
      </c>
      <c r="G181">
        <v>1</v>
      </c>
      <c r="H181" s="32">
        <v>86.24</v>
      </c>
      <c r="I181" s="33">
        <v>5</v>
      </c>
      <c r="J181" t="s">
        <v>33</v>
      </c>
      <c r="K181" t="s">
        <v>82</v>
      </c>
      <c r="L181" t="s">
        <v>39</v>
      </c>
      <c r="M181" t="s">
        <v>22</v>
      </c>
      <c r="N181" s="32">
        <v>81.927999999999997</v>
      </c>
    </row>
    <row r="182" spans="1:14" x14ac:dyDescent="0.3">
      <c r="A182" t="s">
        <v>502</v>
      </c>
      <c r="B182" s="8">
        <v>45901</v>
      </c>
      <c r="C182" t="s">
        <v>81</v>
      </c>
      <c r="D182" t="s">
        <v>16</v>
      </c>
      <c r="E182" t="s">
        <v>13</v>
      </c>
      <c r="F182" t="s">
        <v>28</v>
      </c>
      <c r="G182">
        <v>5</v>
      </c>
      <c r="H182" s="32">
        <v>84.55</v>
      </c>
      <c r="I182" s="33">
        <v>0</v>
      </c>
      <c r="J182" t="s">
        <v>30</v>
      </c>
      <c r="K182" t="s">
        <v>92</v>
      </c>
      <c r="L182" t="s">
        <v>39</v>
      </c>
      <c r="M182" t="s">
        <v>503</v>
      </c>
      <c r="N182" s="32">
        <v>422.75</v>
      </c>
    </row>
    <row r="183" spans="1:14" x14ac:dyDescent="0.3">
      <c r="A183" t="s">
        <v>504</v>
      </c>
      <c r="B183" s="8">
        <v>45677</v>
      </c>
      <c r="C183" t="s">
        <v>114</v>
      </c>
      <c r="D183" t="s">
        <v>21</v>
      </c>
      <c r="E183" t="s">
        <v>5</v>
      </c>
      <c r="F183" t="s">
        <v>25</v>
      </c>
      <c r="G183">
        <v>1</v>
      </c>
      <c r="H183" s="32">
        <v>1030.44</v>
      </c>
      <c r="I183" s="33">
        <v>0</v>
      </c>
      <c r="J183" t="s">
        <v>32</v>
      </c>
      <c r="K183" t="s">
        <v>77</v>
      </c>
      <c r="L183" t="s">
        <v>37</v>
      </c>
      <c r="M183" t="s">
        <v>506</v>
      </c>
      <c r="N183" s="32">
        <v>1030.44</v>
      </c>
    </row>
    <row r="184" spans="1:14" x14ac:dyDescent="0.3">
      <c r="A184" t="s">
        <v>507</v>
      </c>
      <c r="B184" s="8">
        <v>45712</v>
      </c>
      <c r="C184" t="s">
        <v>91</v>
      </c>
      <c r="D184" t="s">
        <v>18</v>
      </c>
      <c r="E184" t="s">
        <v>14</v>
      </c>
      <c r="F184" t="s">
        <v>28</v>
      </c>
      <c r="G184">
        <v>3</v>
      </c>
      <c r="H184" s="32">
        <v>49.63</v>
      </c>
      <c r="I184" s="33">
        <v>15</v>
      </c>
      <c r="J184" t="s">
        <v>32</v>
      </c>
      <c r="K184" t="s">
        <v>82</v>
      </c>
      <c r="L184" t="s">
        <v>37</v>
      </c>
      <c r="M184" t="s">
        <v>241</v>
      </c>
      <c r="N184" s="32">
        <v>126.5565</v>
      </c>
    </row>
    <row r="185" spans="1:14" x14ac:dyDescent="0.3">
      <c r="A185" t="s">
        <v>509</v>
      </c>
      <c r="B185" s="8">
        <v>45827</v>
      </c>
      <c r="C185" t="s">
        <v>99</v>
      </c>
      <c r="D185" t="s">
        <v>17</v>
      </c>
      <c r="E185" t="s">
        <v>11</v>
      </c>
      <c r="F185" t="s">
        <v>26</v>
      </c>
      <c r="G185">
        <v>1</v>
      </c>
      <c r="H185" s="32">
        <v>165.33</v>
      </c>
      <c r="I185" s="33">
        <v>0</v>
      </c>
      <c r="J185" t="s">
        <v>31</v>
      </c>
      <c r="K185" t="s">
        <v>92</v>
      </c>
      <c r="L185" t="s">
        <v>37</v>
      </c>
      <c r="M185" t="s">
        <v>368</v>
      </c>
      <c r="N185" s="32">
        <v>165.33</v>
      </c>
    </row>
    <row r="186" spans="1:14" x14ac:dyDescent="0.3">
      <c r="A186" t="s">
        <v>510</v>
      </c>
      <c r="B186" s="8">
        <v>45747</v>
      </c>
      <c r="C186" t="s">
        <v>114</v>
      </c>
      <c r="D186" t="s">
        <v>18</v>
      </c>
      <c r="E186" t="s">
        <v>14</v>
      </c>
      <c r="F186" t="s">
        <v>28</v>
      </c>
      <c r="G186">
        <v>2</v>
      </c>
      <c r="H186" s="32">
        <v>59.91</v>
      </c>
      <c r="I186" s="33">
        <v>10</v>
      </c>
      <c r="J186" t="s">
        <v>30</v>
      </c>
      <c r="K186" t="s">
        <v>92</v>
      </c>
      <c r="L186" t="s">
        <v>38</v>
      </c>
      <c r="M186" t="s">
        <v>22</v>
      </c>
      <c r="N186" s="32">
        <v>107.83799999999999</v>
      </c>
    </row>
    <row r="187" spans="1:14" x14ac:dyDescent="0.3">
      <c r="A187" t="s">
        <v>511</v>
      </c>
      <c r="B187" s="8">
        <v>45823</v>
      </c>
      <c r="C187" t="s">
        <v>107</v>
      </c>
      <c r="D187" t="s">
        <v>16</v>
      </c>
      <c r="E187" t="s">
        <v>12</v>
      </c>
      <c r="F187" t="s">
        <v>25</v>
      </c>
      <c r="G187">
        <v>1</v>
      </c>
      <c r="H187" s="32">
        <v>112.22</v>
      </c>
      <c r="I187" s="33">
        <v>5</v>
      </c>
      <c r="J187" t="s">
        <v>31</v>
      </c>
      <c r="K187" t="s">
        <v>77</v>
      </c>
      <c r="L187" t="s">
        <v>37</v>
      </c>
      <c r="M187" t="s">
        <v>513</v>
      </c>
      <c r="N187" s="32">
        <v>106.60899999999999</v>
      </c>
    </row>
    <row r="188" spans="1:14" x14ac:dyDescent="0.3">
      <c r="A188" t="s">
        <v>514</v>
      </c>
      <c r="B188" s="8">
        <v>45817</v>
      </c>
      <c r="C188" t="s">
        <v>91</v>
      </c>
      <c r="D188" t="s">
        <v>16</v>
      </c>
      <c r="E188" t="s">
        <v>14</v>
      </c>
      <c r="F188" t="s">
        <v>28</v>
      </c>
      <c r="G188">
        <v>1</v>
      </c>
      <c r="H188" s="32">
        <v>58.93</v>
      </c>
      <c r="I188" s="33">
        <v>10</v>
      </c>
      <c r="J188" t="s">
        <v>31</v>
      </c>
      <c r="K188" t="s">
        <v>82</v>
      </c>
      <c r="L188" t="s">
        <v>37</v>
      </c>
      <c r="M188" t="s">
        <v>211</v>
      </c>
      <c r="N188" s="32">
        <v>53.036999999999999</v>
      </c>
    </row>
    <row r="189" spans="1:14" x14ac:dyDescent="0.3">
      <c r="A189" t="s">
        <v>516</v>
      </c>
      <c r="B189" s="8">
        <v>45849</v>
      </c>
      <c r="C189" t="s">
        <v>121</v>
      </c>
      <c r="D189" t="s">
        <v>18</v>
      </c>
      <c r="E189" t="s">
        <v>11</v>
      </c>
      <c r="F189" t="s">
        <v>26</v>
      </c>
      <c r="G189">
        <v>1</v>
      </c>
      <c r="H189" s="32">
        <v>163.04</v>
      </c>
      <c r="I189" s="33">
        <v>20</v>
      </c>
      <c r="J189" t="s">
        <v>31</v>
      </c>
      <c r="K189" t="s">
        <v>82</v>
      </c>
      <c r="L189" t="s">
        <v>39</v>
      </c>
      <c r="M189" t="s">
        <v>158</v>
      </c>
      <c r="N189" s="32">
        <v>130.43199999999999</v>
      </c>
    </row>
    <row r="190" spans="1:14" x14ac:dyDescent="0.3">
      <c r="A190" t="s">
        <v>517</v>
      </c>
      <c r="B190" s="8">
        <v>45697</v>
      </c>
      <c r="C190" t="s">
        <v>76</v>
      </c>
      <c r="D190" t="s">
        <v>20</v>
      </c>
      <c r="E190" t="s">
        <v>13</v>
      </c>
      <c r="F190" t="s">
        <v>28</v>
      </c>
      <c r="G190">
        <v>1</v>
      </c>
      <c r="H190" s="32">
        <v>96.83</v>
      </c>
      <c r="I190" s="33">
        <v>20</v>
      </c>
      <c r="J190" t="s">
        <v>31</v>
      </c>
      <c r="K190" t="s">
        <v>82</v>
      </c>
      <c r="L190" t="s">
        <v>38</v>
      </c>
      <c r="M190" t="s">
        <v>311</v>
      </c>
      <c r="N190" s="32">
        <v>77.463999999999999</v>
      </c>
    </row>
    <row r="191" spans="1:14" x14ac:dyDescent="0.3">
      <c r="A191" t="s">
        <v>519</v>
      </c>
      <c r="B191" s="8">
        <v>45763</v>
      </c>
      <c r="C191" t="s">
        <v>99</v>
      </c>
      <c r="D191" t="s">
        <v>20</v>
      </c>
      <c r="E191" t="s">
        <v>7</v>
      </c>
      <c r="F191" t="s">
        <v>27</v>
      </c>
      <c r="G191">
        <v>3</v>
      </c>
      <c r="H191" s="32">
        <v>424.39</v>
      </c>
      <c r="I191" s="33">
        <v>10</v>
      </c>
      <c r="J191" t="s">
        <v>32</v>
      </c>
      <c r="K191" t="s">
        <v>92</v>
      </c>
      <c r="L191" t="s">
        <v>38</v>
      </c>
      <c r="M191" t="s">
        <v>336</v>
      </c>
      <c r="N191" s="32">
        <v>1145.8530000000001</v>
      </c>
    </row>
    <row r="192" spans="1:14" x14ac:dyDescent="0.3">
      <c r="A192" t="s">
        <v>520</v>
      </c>
      <c r="B192" s="8">
        <v>45687</v>
      </c>
      <c r="C192" t="s">
        <v>99</v>
      </c>
      <c r="D192" t="s">
        <v>17</v>
      </c>
      <c r="E192" t="s">
        <v>8</v>
      </c>
      <c r="F192" t="s">
        <v>25</v>
      </c>
      <c r="G192">
        <v>2</v>
      </c>
      <c r="H192" s="32">
        <v>659.23</v>
      </c>
      <c r="I192" s="33">
        <v>20</v>
      </c>
      <c r="J192" t="s">
        <v>30</v>
      </c>
      <c r="K192" t="s">
        <v>92</v>
      </c>
      <c r="L192" t="s">
        <v>38</v>
      </c>
      <c r="M192" t="s">
        <v>522</v>
      </c>
      <c r="N192" s="32">
        <v>1054.768</v>
      </c>
    </row>
    <row r="193" spans="1:14" x14ac:dyDescent="0.3">
      <c r="A193" t="s">
        <v>523</v>
      </c>
      <c r="B193" s="8">
        <v>45695</v>
      </c>
      <c r="C193" t="s">
        <v>114</v>
      </c>
      <c r="D193" t="s">
        <v>16</v>
      </c>
      <c r="E193" t="s">
        <v>14</v>
      </c>
      <c r="F193" t="s">
        <v>28</v>
      </c>
      <c r="G193">
        <v>3</v>
      </c>
      <c r="H193" s="32">
        <v>59.75</v>
      </c>
      <c r="I193" s="33">
        <v>15</v>
      </c>
      <c r="J193" t="s">
        <v>33</v>
      </c>
      <c r="K193" t="s">
        <v>92</v>
      </c>
      <c r="L193" t="s">
        <v>37</v>
      </c>
      <c r="M193" t="s">
        <v>420</v>
      </c>
      <c r="N193" s="32">
        <v>152.36250000000001</v>
      </c>
    </row>
    <row r="194" spans="1:14" x14ac:dyDescent="0.3">
      <c r="A194" t="s">
        <v>524</v>
      </c>
      <c r="B194" s="8">
        <v>45727</v>
      </c>
      <c r="C194" t="s">
        <v>86</v>
      </c>
      <c r="D194" t="s">
        <v>18</v>
      </c>
      <c r="E194" t="s">
        <v>11</v>
      </c>
      <c r="F194" t="s">
        <v>26</v>
      </c>
      <c r="G194">
        <v>1</v>
      </c>
      <c r="H194" s="32">
        <v>150.33000000000001</v>
      </c>
      <c r="I194" s="33">
        <v>5</v>
      </c>
      <c r="J194" t="s">
        <v>32</v>
      </c>
      <c r="K194" t="s">
        <v>77</v>
      </c>
      <c r="L194" t="s">
        <v>39</v>
      </c>
      <c r="M194" t="s">
        <v>158</v>
      </c>
      <c r="N194" s="32">
        <v>142.8135</v>
      </c>
    </row>
    <row r="195" spans="1:14" x14ac:dyDescent="0.3">
      <c r="A195" t="s">
        <v>526</v>
      </c>
      <c r="B195" s="8">
        <v>45718</v>
      </c>
      <c r="C195" t="s">
        <v>121</v>
      </c>
      <c r="D195" t="s">
        <v>18</v>
      </c>
      <c r="E195" t="s">
        <v>13</v>
      </c>
      <c r="F195" t="s">
        <v>28</v>
      </c>
      <c r="G195">
        <v>1</v>
      </c>
      <c r="H195" s="32">
        <v>100.36</v>
      </c>
      <c r="I195" s="33">
        <v>10</v>
      </c>
      <c r="J195" t="s">
        <v>31</v>
      </c>
      <c r="K195" t="s">
        <v>82</v>
      </c>
      <c r="L195" t="s">
        <v>37</v>
      </c>
      <c r="M195" t="s">
        <v>528</v>
      </c>
      <c r="N195" s="32">
        <v>90.323999999999998</v>
      </c>
    </row>
    <row r="196" spans="1:14" x14ac:dyDescent="0.3">
      <c r="A196" t="s">
        <v>529</v>
      </c>
      <c r="B196" s="8">
        <v>45715</v>
      </c>
      <c r="C196" t="s">
        <v>114</v>
      </c>
      <c r="D196" t="s">
        <v>19</v>
      </c>
      <c r="E196" t="s">
        <v>14</v>
      </c>
      <c r="F196" t="s">
        <v>28</v>
      </c>
      <c r="G196">
        <v>1</v>
      </c>
      <c r="H196" s="32">
        <v>61.53</v>
      </c>
      <c r="I196" s="33">
        <v>20</v>
      </c>
      <c r="J196" t="s">
        <v>33</v>
      </c>
      <c r="K196" t="s">
        <v>82</v>
      </c>
      <c r="L196" t="s">
        <v>37</v>
      </c>
      <c r="M196" t="s">
        <v>486</v>
      </c>
      <c r="N196" s="32">
        <v>49.223999999999997</v>
      </c>
    </row>
    <row r="197" spans="1:14" x14ac:dyDescent="0.3">
      <c r="A197" t="s">
        <v>531</v>
      </c>
      <c r="B197" s="8">
        <v>45682</v>
      </c>
      <c r="C197" t="s">
        <v>107</v>
      </c>
      <c r="D197" t="s">
        <v>18</v>
      </c>
      <c r="E197" t="s">
        <v>12</v>
      </c>
      <c r="F197" t="s">
        <v>25</v>
      </c>
      <c r="G197">
        <v>1</v>
      </c>
      <c r="H197" s="32">
        <v>109.01</v>
      </c>
      <c r="I197" s="33">
        <v>5</v>
      </c>
      <c r="J197" t="s">
        <v>31</v>
      </c>
      <c r="K197" t="s">
        <v>82</v>
      </c>
      <c r="L197" t="s">
        <v>37</v>
      </c>
      <c r="M197" t="s">
        <v>155</v>
      </c>
      <c r="N197" s="32">
        <v>103.5595</v>
      </c>
    </row>
    <row r="198" spans="1:14" x14ac:dyDescent="0.3">
      <c r="A198" t="s">
        <v>533</v>
      </c>
      <c r="B198" s="8">
        <v>45821</v>
      </c>
      <c r="C198" t="s">
        <v>127</v>
      </c>
      <c r="D198" t="s">
        <v>17</v>
      </c>
      <c r="E198" t="s">
        <v>8</v>
      </c>
      <c r="F198" t="s">
        <v>25</v>
      </c>
      <c r="G198">
        <v>2</v>
      </c>
      <c r="H198" s="32">
        <v>632.01</v>
      </c>
      <c r="I198" s="33">
        <v>20</v>
      </c>
      <c r="J198" t="s">
        <v>30</v>
      </c>
      <c r="K198" t="s">
        <v>82</v>
      </c>
      <c r="L198" t="s">
        <v>38</v>
      </c>
      <c r="M198" t="s">
        <v>238</v>
      </c>
      <c r="N198" s="32">
        <v>1011.216</v>
      </c>
    </row>
    <row r="199" spans="1:14" x14ac:dyDescent="0.3">
      <c r="A199" t="s">
        <v>534</v>
      </c>
      <c r="B199" s="8">
        <v>45869</v>
      </c>
      <c r="C199" t="s">
        <v>91</v>
      </c>
      <c r="D199" t="s">
        <v>20</v>
      </c>
      <c r="E199" t="s">
        <v>8</v>
      </c>
      <c r="F199" t="s">
        <v>25</v>
      </c>
      <c r="G199">
        <v>5</v>
      </c>
      <c r="H199" s="32">
        <v>669.7</v>
      </c>
      <c r="I199" s="33">
        <v>10</v>
      </c>
      <c r="J199" t="s">
        <v>31</v>
      </c>
      <c r="K199" t="s">
        <v>77</v>
      </c>
      <c r="L199" t="s">
        <v>37</v>
      </c>
      <c r="M199" t="s">
        <v>536</v>
      </c>
      <c r="N199" s="32">
        <v>3013.65</v>
      </c>
    </row>
    <row r="200" spans="1:14" x14ac:dyDescent="0.3">
      <c r="A200" t="s">
        <v>537</v>
      </c>
      <c r="B200" s="8">
        <v>45853</v>
      </c>
      <c r="C200" t="s">
        <v>86</v>
      </c>
      <c r="D200" t="s">
        <v>17</v>
      </c>
      <c r="E200" t="s">
        <v>10</v>
      </c>
      <c r="F200" t="s">
        <v>25</v>
      </c>
      <c r="G200">
        <v>5</v>
      </c>
      <c r="H200" s="32">
        <v>397.39</v>
      </c>
      <c r="I200" s="33">
        <v>5</v>
      </c>
      <c r="J200" t="s">
        <v>32</v>
      </c>
      <c r="K200" t="s">
        <v>82</v>
      </c>
      <c r="L200" t="s">
        <v>38</v>
      </c>
      <c r="M200" t="s">
        <v>538</v>
      </c>
      <c r="N200" s="32">
        <v>1887.6025</v>
      </c>
    </row>
    <row r="201" spans="1:14" x14ac:dyDescent="0.3">
      <c r="A201" t="s">
        <v>539</v>
      </c>
      <c r="B201" s="8">
        <v>45781</v>
      </c>
      <c r="C201" t="s">
        <v>91</v>
      </c>
      <c r="D201" t="s">
        <v>17</v>
      </c>
      <c r="E201" t="s">
        <v>6</v>
      </c>
      <c r="F201" t="s">
        <v>26</v>
      </c>
      <c r="G201">
        <v>1</v>
      </c>
      <c r="H201" s="32">
        <v>806.9</v>
      </c>
      <c r="I201" s="33">
        <v>0</v>
      </c>
      <c r="J201" t="s">
        <v>32</v>
      </c>
      <c r="K201" t="s">
        <v>92</v>
      </c>
      <c r="L201" t="s">
        <v>37</v>
      </c>
      <c r="M201" t="s">
        <v>181</v>
      </c>
      <c r="N201" s="32">
        <v>806.9</v>
      </c>
    </row>
    <row r="202" spans="1:14" x14ac:dyDescent="0.3">
      <c r="A202" t="s">
        <v>541</v>
      </c>
      <c r="B202" s="8">
        <v>45782</v>
      </c>
      <c r="C202" t="s">
        <v>81</v>
      </c>
      <c r="D202" t="s">
        <v>16</v>
      </c>
      <c r="E202" t="s">
        <v>6</v>
      </c>
      <c r="F202" t="s">
        <v>26</v>
      </c>
      <c r="G202">
        <v>2</v>
      </c>
      <c r="H202" s="32">
        <v>728.15</v>
      </c>
      <c r="I202" s="33">
        <v>15</v>
      </c>
      <c r="J202" t="s">
        <v>33</v>
      </c>
      <c r="K202" t="s">
        <v>77</v>
      </c>
      <c r="L202" t="s">
        <v>37</v>
      </c>
      <c r="M202" t="s">
        <v>100</v>
      </c>
      <c r="N202" s="32">
        <v>1237.855</v>
      </c>
    </row>
    <row r="203" spans="1:14" x14ac:dyDescent="0.3">
      <c r="A203" t="s">
        <v>543</v>
      </c>
      <c r="B203" s="8">
        <v>45684</v>
      </c>
      <c r="C203" t="s">
        <v>114</v>
      </c>
      <c r="D203" t="s">
        <v>17</v>
      </c>
      <c r="E203" t="s">
        <v>12</v>
      </c>
      <c r="F203" t="s">
        <v>25</v>
      </c>
      <c r="G203">
        <v>2</v>
      </c>
      <c r="H203" s="32">
        <v>132.88</v>
      </c>
      <c r="I203" s="33">
        <v>10</v>
      </c>
      <c r="J203" t="s">
        <v>33</v>
      </c>
      <c r="K203" t="s">
        <v>92</v>
      </c>
      <c r="L203" t="s">
        <v>37</v>
      </c>
      <c r="M203" t="s">
        <v>250</v>
      </c>
      <c r="N203" s="32">
        <v>239.184</v>
      </c>
    </row>
    <row r="204" spans="1:14" x14ac:dyDescent="0.3">
      <c r="A204" t="s">
        <v>545</v>
      </c>
      <c r="B204" s="8">
        <v>45903</v>
      </c>
      <c r="C204" t="s">
        <v>86</v>
      </c>
      <c r="D204" t="s">
        <v>16</v>
      </c>
      <c r="E204" t="s">
        <v>5</v>
      </c>
      <c r="F204" t="s">
        <v>25</v>
      </c>
      <c r="G204">
        <v>2</v>
      </c>
      <c r="H204" s="32">
        <v>987.73</v>
      </c>
      <c r="I204" s="33">
        <v>0</v>
      </c>
      <c r="J204" t="s">
        <v>31</v>
      </c>
      <c r="K204" t="s">
        <v>82</v>
      </c>
      <c r="L204" t="s">
        <v>37</v>
      </c>
      <c r="M204" t="s">
        <v>546</v>
      </c>
      <c r="N204" s="32">
        <v>1975.46</v>
      </c>
    </row>
    <row r="205" spans="1:14" x14ac:dyDescent="0.3">
      <c r="A205" t="s">
        <v>547</v>
      </c>
      <c r="B205" s="8">
        <v>45762</v>
      </c>
      <c r="C205" t="s">
        <v>81</v>
      </c>
      <c r="D205" t="s">
        <v>22</v>
      </c>
      <c r="E205" t="s">
        <v>11</v>
      </c>
      <c r="F205" t="s">
        <v>26</v>
      </c>
      <c r="G205">
        <v>4</v>
      </c>
      <c r="H205" s="32">
        <v>161.09</v>
      </c>
      <c r="I205" s="33">
        <v>0</v>
      </c>
      <c r="J205" t="s">
        <v>30</v>
      </c>
      <c r="K205" t="s">
        <v>77</v>
      </c>
      <c r="L205" t="s">
        <v>39</v>
      </c>
      <c r="M205" t="s">
        <v>549</v>
      </c>
      <c r="N205" s="32">
        <v>644.36</v>
      </c>
    </row>
    <row r="206" spans="1:14" x14ac:dyDescent="0.3">
      <c r="A206" t="s">
        <v>550</v>
      </c>
      <c r="B206" s="8">
        <v>45842</v>
      </c>
      <c r="C206" t="s">
        <v>99</v>
      </c>
      <c r="D206" t="s">
        <v>18</v>
      </c>
      <c r="E206" t="s">
        <v>13</v>
      </c>
      <c r="F206" t="s">
        <v>28</v>
      </c>
      <c r="G206">
        <v>2</v>
      </c>
      <c r="H206" s="32">
        <v>87.94</v>
      </c>
      <c r="I206" s="33">
        <v>0</v>
      </c>
      <c r="J206" t="s">
        <v>32</v>
      </c>
      <c r="K206" t="s">
        <v>87</v>
      </c>
      <c r="L206" t="s">
        <v>38</v>
      </c>
      <c r="M206" t="s">
        <v>486</v>
      </c>
      <c r="N206" s="32">
        <v>175.88</v>
      </c>
    </row>
    <row r="207" spans="1:14" x14ac:dyDescent="0.3">
      <c r="A207" t="s">
        <v>552</v>
      </c>
      <c r="B207" s="8">
        <v>45771</v>
      </c>
      <c r="C207" t="s">
        <v>107</v>
      </c>
      <c r="D207" t="s">
        <v>16</v>
      </c>
      <c r="E207" t="s">
        <v>7</v>
      </c>
      <c r="F207" t="s">
        <v>27</v>
      </c>
      <c r="G207">
        <v>1</v>
      </c>
      <c r="H207" s="32">
        <v>392.18</v>
      </c>
      <c r="I207" s="33">
        <v>10</v>
      </c>
      <c r="J207" t="s">
        <v>32</v>
      </c>
      <c r="K207" t="s">
        <v>87</v>
      </c>
      <c r="L207" t="s">
        <v>37</v>
      </c>
      <c r="M207" t="s">
        <v>124</v>
      </c>
      <c r="N207" s="32">
        <v>352.96199999999999</v>
      </c>
    </row>
    <row r="208" spans="1:14" x14ac:dyDescent="0.3">
      <c r="A208" t="s">
        <v>553</v>
      </c>
      <c r="B208" s="8">
        <v>45783</v>
      </c>
      <c r="C208" t="s">
        <v>121</v>
      </c>
      <c r="D208" t="s">
        <v>17</v>
      </c>
      <c r="E208" t="s">
        <v>9</v>
      </c>
      <c r="F208" t="s">
        <v>27</v>
      </c>
      <c r="G208">
        <v>1</v>
      </c>
      <c r="H208" s="32">
        <v>179.09</v>
      </c>
      <c r="I208" s="33">
        <v>15</v>
      </c>
      <c r="J208" t="s">
        <v>30</v>
      </c>
      <c r="K208" t="s">
        <v>87</v>
      </c>
      <c r="L208" t="s">
        <v>39</v>
      </c>
      <c r="M208" t="s">
        <v>261</v>
      </c>
      <c r="N208" s="32">
        <v>152.22649999999999</v>
      </c>
    </row>
    <row r="209" spans="1:14" x14ac:dyDescent="0.3">
      <c r="A209" t="s">
        <v>555</v>
      </c>
      <c r="B209" s="8">
        <v>45838</v>
      </c>
      <c r="C209" t="s">
        <v>103</v>
      </c>
      <c r="D209" t="s">
        <v>17</v>
      </c>
      <c r="E209" t="s">
        <v>11</v>
      </c>
      <c r="F209" t="s">
        <v>26</v>
      </c>
      <c r="G209">
        <v>1</v>
      </c>
      <c r="H209" s="32">
        <v>162.47999999999999</v>
      </c>
      <c r="I209" s="33">
        <v>10</v>
      </c>
      <c r="J209" t="s">
        <v>32</v>
      </c>
      <c r="K209" t="s">
        <v>82</v>
      </c>
      <c r="L209" t="s">
        <v>37</v>
      </c>
      <c r="M209" t="s">
        <v>341</v>
      </c>
      <c r="N209" s="32">
        <v>146.232</v>
      </c>
    </row>
    <row r="210" spans="1:14" x14ac:dyDescent="0.3">
      <c r="A210" t="s">
        <v>557</v>
      </c>
      <c r="B210" s="8">
        <v>45688</v>
      </c>
      <c r="C210" t="s">
        <v>127</v>
      </c>
      <c r="D210" t="s">
        <v>18</v>
      </c>
      <c r="E210" t="s">
        <v>10</v>
      </c>
      <c r="F210" t="s">
        <v>25</v>
      </c>
      <c r="G210">
        <v>1</v>
      </c>
      <c r="H210" s="32">
        <v>354.9</v>
      </c>
      <c r="I210" s="33">
        <v>15</v>
      </c>
      <c r="J210" t="s">
        <v>32</v>
      </c>
      <c r="K210" t="s">
        <v>92</v>
      </c>
      <c r="L210" t="s">
        <v>38</v>
      </c>
      <c r="M210" t="s">
        <v>559</v>
      </c>
      <c r="N210" s="32">
        <v>301.66500000000002</v>
      </c>
    </row>
    <row r="211" spans="1:14" x14ac:dyDescent="0.3">
      <c r="A211" t="s">
        <v>560</v>
      </c>
      <c r="B211" s="8">
        <v>45929</v>
      </c>
      <c r="C211" t="s">
        <v>121</v>
      </c>
      <c r="D211" t="s">
        <v>16</v>
      </c>
      <c r="E211" t="s">
        <v>13</v>
      </c>
      <c r="F211" t="s">
        <v>28</v>
      </c>
      <c r="G211">
        <v>2</v>
      </c>
      <c r="H211" s="32">
        <v>81.27</v>
      </c>
      <c r="I211" s="33">
        <v>0</v>
      </c>
      <c r="J211" t="s">
        <v>32</v>
      </c>
      <c r="K211" t="s">
        <v>82</v>
      </c>
      <c r="L211" t="s">
        <v>37</v>
      </c>
      <c r="M211" t="s">
        <v>189</v>
      </c>
      <c r="N211" s="32">
        <v>162.54</v>
      </c>
    </row>
    <row r="212" spans="1:14" x14ac:dyDescent="0.3">
      <c r="A212" t="s">
        <v>561</v>
      </c>
      <c r="B212" s="8">
        <v>45927</v>
      </c>
      <c r="C212" t="s">
        <v>86</v>
      </c>
      <c r="D212" t="s">
        <v>16</v>
      </c>
      <c r="E212" t="s">
        <v>12</v>
      </c>
      <c r="F212" t="s">
        <v>25</v>
      </c>
      <c r="G212">
        <v>2</v>
      </c>
      <c r="H212" s="32">
        <v>115.23</v>
      </c>
      <c r="I212" s="33">
        <v>20</v>
      </c>
      <c r="J212" t="s">
        <v>32</v>
      </c>
      <c r="K212" t="s">
        <v>92</v>
      </c>
      <c r="L212" t="s">
        <v>37</v>
      </c>
      <c r="M212" t="s">
        <v>332</v>
      </c>
      <c r="N212" s="32">
        <v>184.36799999999999</v>
      </c>
    </row>
    <row r="213" spans="1:14" x14ac:dyDescent="0.3">
      <c r="A213" t="s">
        <v>563</v>
      </c>
      <c r="B213" s="8">
        <v>45773</v>
      </c>
      <c r="C213" t="s">
        <v>76</v>
      </c>
      <c r="D213" t="s">
        <v>17</v>
      </c>
      <c r="E213" t="s">
        <v>6</v>
      </c>
      <c r="F213" t="s">
        <v>26</v>
      </c>
      <c r="G213">
        <v>1</v>
      </c>
      <c r="H213" s="32">
        <v>749.43</v>
      </c>
      <c r="I213" s="33">
        <v>20</v>
      </c>
      <c r="J213" t="s">
        <v>33</v>
      </c>
      <c r="K213" t="s">
        <v>92</v>
      </c>
      <c r="L213" t="s">
        <v>37</v>
      </c>
      <c r="M213" t="s">
        <v>564</v>
      </c>
      <c r="N213" s="32">
        <v>599.54399999999998</v>
      </c>
    </row>
    <row r="214" spans="1:14" x14ac:dyDescent="0.3">
      <c r="A214" t="s">
        <v>565</v>
      </c>
      <c r="B214" s="8">
        <v>45662</v>
      </c>
      <c r="C214" t="s">
        <v>76</v>
      </c>
      <c r="D214" t="s">
        <v>18</v>
      </c>
      <c r="E214" t="s">
        <v>6</v>
      </c>
      <c r="F214" t="s">
        <v>26</v>
      </c>
      <c r="G214">
        <v>1</v>
      </c>
      <c r="H214" s="32">
        <v>794.82</v>
      </c>
      <c r="I214" s="33">
        <v>20</v>
      </c>
      <c r="J214" t="s">
        <v>32</v>
      </c>
      <c r="K214" t="s">
        <v>87</v>
      </c>
      <c r="L214" t="s">
        <v>37</v>
      </c>
      <c r="M214" t="s">
        <v>465</v>
      </c>
      <c r="N214" s="32">
        <v>635.85599999999999</v>
      </c>
    </row>
    <row r="215" spans="1:14" x14ac:dyDescent="0.3">
      <c r="A215" t="s">
        <v>567</v>
      </c>
      <c r="B215" s="8">
        <v>45901</v>
      </c>
      <c r="C215" t="s">
        <v>107</v>
      </c>
      <c r="D215" t="s">
        <v>20</v>
      </c>
      <c r="E215" t="s">
        <v>13</v>
      </c>
      <c r="F215" t="s">
        <v>28</v>
      </c>
      <c r="G215">
        <v>4</v>
      </c>
      <c r="H215" s="32">
        <v>86.17</v>
      </c>
      <c r="I215" s="33">
        <v>15</v>
      </c>
      <c r="J215" t="s">
        <v>30</v>
      </c>
      <c r="K215" t="s">
        <v>92</v>
      </c>
      <c r="L215" t="s">
        <v>37</v>
      </c>
      <c r="M215" t="s">
        <v>568</v>
      </c>
      <c r="N215" s="32">
        <v>292.97800000000001</v>
      </c>
    </row>
    <row r="216" spans="1:14" x14ac:dyDescent="0.3">
      <c r="A216" t="s">
        <v>569</v>
      </c>
      <c r="B216" s="8">
        <v>45731</v>
      </c>
      <c r="C216" t="s">
        <v>76</v>
      </c>
      <c r="D216" t="s">
        <v>16</v>
      </c>
      <c r="E216" t="s">
        <v>7</v>
      </c>
      <c r="F216" t="s">
        <v>27</v>
      </c>
      <c r="G216">
        <v>1</v>
      </c>
      <c r="H216" s="32">
        <v>399.75</v>
      </c>
      <c r="I216" s="33">
        <v>0</v>
      </c>
      <c r="J216" t="s">
        <v>31</v>
      </c>
      <c r="K216" t="s">
        <v>77</v>
      </c>
      <c r="L216" t="s">
        <v>39</v>
      </c>
      <c r="M216" t="s">
        <v>347</v>
      </c>
      <c r="N216" s="32">
        <v>399.75</v>
      </c>
    </row>
    <row r="217" spans="1:14" x14ac:dyDescent="0.3">
      <c r="A217" t="s">
        <v>570</v>
      </c>
      <c r="B217" s="8">
        <v>45698</v>
      </c>
      <c r="C217" t="s">
        <v>86</v>
      </c>
      <c r="D217" t="s">
        <v>20</v>
      </c>
      <c r="E217" t="s">
        <v>6</v>
      </c>
      <c r="F217" t="s">
        <v>26</v>
      </c>
      <c r="G217">
        <v>2</v>
      </c>
      <c r="H217" s="32">
        <v>729.29</v>
      </c>
      <c r="I217" s="33">
        <v>0</v>
      </c>
      <c r="J217" t="s">
        <v>32</v>
      </c>
      <c r="K217" t="s">
        <v>82</v>
      </c>
      <c r="L217" t="s">
        <v>38</v>
      </c>
      <c r="M217" t="s">
        <v>217</v>
      </c>
      <c r="N217" s="32">
        <v>1458.58</v>
      </c>
    </row>
    <row r="218" spans="1:14" x14ac:dyDescent="0.3">
      <c r="A218" t="s">
        <v>571</v>
      </c>
      <c r="B218" s="8">
        <v>45753</v>
      </c>
      <c r="C218" t="s">
        <v>114</v>
      </c>
      <c r="D218" t="s">
        <v>20</v>
      </c>
      <c r="E218" t="s">
        <v>7</v>
      </c>
      <c r="F218" t="s">
        <v>27</v>
      </c>
      <c r="G218">
        <v>2</v>
      </c>
      <c r="H218" s="32">
        <v>417.42</v>
      </c>
      <c r="I218" s="33">
        <v>20</v>
      </c>
      <c r="J218" t="s">
        <v>30</v>
      </c>
      <c r="K218" t="s">
        <v>82</v>
      </c>
      <c r="L218" t="s">
        <v>38</v>
      </c>
      <c r="M218" t="s">
        <v>381</v>
      </c>
      <c r="N218" s="32">
        <v>667.87199999999996</v>
      </c>
    </row>
    <row r="219" spans="1:14" x14ac:dyDescent="0.3">
      <c r="A219" t="s">
        <v>573</v>
      </c>
      <c r="B219" s="8">
        <v>45736</v>
      </c>
      <c r="C219" t="s">
        <v>86</v>
      </c>
      <c r="D219" t="s">
        <v>16</v>
      </c>
      <c r="E219" t="s">
        <v>12</v>
      </c>
      <c r="F219" t="s">
        <v>25</v>
      </c>
      <c r="G219">
        <v>1</v>
      </c>
      <c r="H219" s="32">
        <v>119.4</v>
      </c>
      <c r="I219" s="33">
        <v>0</v>
      </c>
      <c r="J219" t="s">
        <v>33</v>
      </c>
      <c r="K219" t="s">
        <v>92</v>
      </c>
      <c r="L219" t="s">
        <v>39</v>
      </c>
      <c r="M219" t="s">
        <v>269</v>
      </c>
      <c r="N219" s="32">
        <v>119.4</v>
      </c>
    </row>
    <row r="220" spans="1:14" x14ac:dyDescent="0.3">
      <c r="A220" t="s">
        <v>574</v>
      </c>
      <c r="B220" s="8">
        <v>45725</v>
      </c>
      <c r="C220" t="s">
        <v>103</v>
      </c>
      <c r="D220" t="s">
        <v>18</v>
      </c>
      <c r="E220" t="s">
        <v>11</v>
      </c>
      <c r="F220" t="s">
        <v>26</v>
      </c>
      <c r="G220">
        <v>1</v>
      </c>
      <c r="H220" s="32">
        <v>145.12</v>
      </c>
      <c r="I220" s="33">
        <v>5</v>
      </c>
      <c r="J220" t="s">
        <v>32</v>
      </c>
      <c r="K220" t="s">
        <v>92</v>
      </c>
      <c r="L220" t="s">
        <v>37</v>
      </c>
      <c r="M220" t="s">
        <v>228</v>
      </c>
      <c r="N220" s="32">
        <v>137.864</v>
      </c>
    </row>
    <row r="221" spans="1:14" x14ac:dyDescent="0.3">
      <c r="A221" t="s">
        <v>575</v>
      </c>
      <c r="B221" s="8">
        <v>45824</v>
      </c>
      <c r="C221" t="s">
        <v>107</v>
      </c>
      <c r="D221" t="s">
        <v>16</v>
      </c>
      <c r="E221" t="s">
        <v>12</v>
      </c>
      <c r="F221" t="s">
        <v>25</v>
      </c>
      <c r="G221">
        <v>1</v>
      </c>
      <c r="H221" s="32">
        <v>110.79</v>
      </c>
      <c r="I221" s="33">
        <v>5</v>
      </c>
      <c r="J221" t="s">
        <v>32</v>
      </c>
      <c r="K221" t="s">
        <v>92</v>
      </c>
      <c r="L221" t="s">
        <v>39</v>
      </c>
      <c r="M221" t="s">
        <v>483</v>
      </c>
      <c r="N221" s="32">
        <v>105.2505</v>
      </c>
    </row>
    <row r="222" spans="1:14" x14ac:dyDescent="0.3">
      <c r="A222" t="s">
        <v>576</v>
      </c>
      <c r="B222" s="8">
        <v>45744</v>
      </c>
      <c r="C222" t="s">
        <v>91</v>
      </c>
      <c r="D222" t="s">
        <v>16</v>
      </c>
      <c r="E222" t="s">
        <v>5</v>
      </c>
      <c r="F222" t="s">
        <v>25</v>
      </c>
      <c r="G222">
        <v>2</v>
      </c>
      <c r="H222" s="32">
        <v>1017.76</v>
      </c>
      <c r="I222" s="33">
        <v>0</v>
      </c>
      <c r="J222" t="s">
        <v>32</v>
      </c>
      <c r="K222" t="s">
        <v>82</v>
      </c>
      <c r="L222" t="s">
        <v>37</v>
      </c>
      <c r="M222" t="s">
        <v>220</v>
      </c>
      <c r="N222" s="32">
        <v>2035.52</v>
      </c>
    </row>
    <row r="223" spans="1:14" x14ac:dyDescent="0.3">
      <c r="A223" t="s">
        <v>577</v>
      </c>
      <c r="B223" s="8">
        <v>45905</v>
      </c>
      <c r="C223" t="s">
        <v>86</v>
      </c>
      <c r="D223" t="s">
        <v>16</v>
      </c>
      <c r="E223" t="s">
        <v>8</v>
      </c>
      <c r="F223" t="s">
        <v>25</v>
      </c>
      <c r="G223">
        <v>1</v>
      </c>
      <c r="H223" s="32">
        <v>653.42999999999995</v>
      </c>
      <c r="I223" s="33">
        <v>0</v>
      </c>
      <c r="J223" t="s">
        <v>32</v>
      </c>
      <c r="K223" t="s">
        <v>82</v>
      </c>
      <c r="L223" t="s">
        <v>37</v>
      </c>
      <c r="M223" t="s">
        <v>427</v>
      </c>
      <c r="N223" s="32">
        <v>653.42999999999995</v>
      </c>
    </row>
    <row r="224" spans="1:14" x14ac:dyDescent="0.3">
      <c r="A224" t="s">
        <v>579</v>
      </c>
      <c r="B224" s="8">
        <v>45860</v>
      </c>
      <c r="C224" t="s">
        <v>127</v>
      </c>
      <c r="D224" t="s">
        <v>18</v>
      </c>
      <c r="E224" t="s">
        <v>12</v>
      </c>
      <c r="F224" t="s">
        <v>25</v>
      </c>
      <c r="G224">
        <v>1</v>
      </c>
      <c r="H224" s="32">
        <v>108.2</v>
      </c>
      <c r="I224" s="33">
        <v>20</v>
      </c>
      <c r="J224" t="s">
        <v>30</v>
      </c>
      <c r="K224" t="s">
        <v>77</v>
      </c>
      <c r="L224" t="s">
        <v>37</v>
      </c>
      <c r="M224" t="s">
        <v>344</v>
      </c>
      <c r="N224" s="32">
        <v>86.56</v>
      </c>
    </row>
    <row r="225" spans="1:14" x14ac:dyDescent="0.3">
      <c r="A225" t="s">
        <v>581</v>
      </c>
      <c r="B225" s="8">
        <v>45727</v>
      </c>
      <c r="C225" t="s">
        <v>86</v>
      </c>
      <c r="D225" t="s">
        <v>19</v>
      </c>
      <c r="E225" t="s">
        <v>6</v>
      </c>
      <c r="F225" t="s">
        <v>26</v>
      </c>
      <c r="G225">
        <v>3</v>
      </c>
      <c r="H225" s="32">
        <v>869.6</v>
      </c>
      <c r="I225" s="33">
        <v>15</v>
      </c>
      <c r="J225" t="s">
        <v>31</v>
      </c>
      <c r="K225" t="s">
        <v>77</v>
      </c>
      <c r="L225" t="s">
        <v>37</v>
      </c>
      <c r="M225" t="s">
        <v>582</v>
      </c>
      <c r="N225" s="32">
        <v>2217.48</v>
      </c>
    </row>
    <row r="226" spans="1:14" x14ac:dyDescent="0.3">
      <c r="A226" t="s">
        <v>583</v>
      </c>
      <c r="B226" s="8">
        <v>45807</v>
      </c>
      <c r="C226" t="s">
        <v>127</v>
      </c>
      <c r="D226" t="s">
        <v>21</v>
      </c>
      <c r="E226" t="s">
        <v>8</v>
      </c>
      <c r="F226" t="s">
        <v>25</v>
      </c>
      <c r="G226">
        <v>4</v>
      </c>
      <c r="H226" s="32">
        <v>742.42</v>
      </c>
      <c r="I226" s="33">
        <v>0</v>
      </c>
      <c r="J226" t="s">
        <v>32</v>
      </c>
      <c r="K226" t="s">
        <v>87</v>
      </c>
      <c r="L226" t="s">
        <v>39</v>
      </c>
      <c r="M226" t="s">
        <v>585</v>
      </c>
      <c r="N226" s="32">
        <v>2969.68</v>
      </c>
    </row>
    <row r="227" spans="1:14" x14ac:dyDescent="0.3">
      <c r="A227" t="s">
        <v>586</v>
      </c>
      <c r="B227" s="8">
        <v>45867</v>
      </c>
      <c r="C227" t="s">
        <v>103</v>
      </c>
      <c r="D227" t="s">
        <v>17</v>
      </c>
      <c r="E227" t="s">
        <v>12</v>
      </c>
      <c r="F227" t="s">
        <v>25</v>
      </c>
      <c r="G227">
        <v>3</v>
      </c>
      <c r="H227" s="32">
        <v>131.87</v>
      </c>
      <c r="I227" s="33">
        <v>0</v>
      </c>
      <c r="J227" t="s">
        <v>31</v>
      </c>
      <c r="K227" t="s">
        <v>87</v>
      </c>
      <c r="L227" t="s">
        <v>39</v>
      </c>
      <c r="M227" t="s">
        <v>124</v>
      </c>
      <c r="N227" s="32">
        <v>395.61</v>
      </c>
    </row>
    <row r="228" spans="1:14" x14ac:dyDescent="0.3">
      <c r="A228" t="s">
        <v>587</v>
      </c>
      <c r="B228" s="8">
        <v>45903</v>
      </c>
      <c r="C228" t="s">
        <v>114</v>
      </c>
      <c r="D228" t="s">
        <v>19</v>
      </c>
      <c r="E228" t="s">
        <v>6</v>
      </c>
      <c r="F228" t="s">
        <v>26</v>
      </c>
      <c r="G228">
        <v>3</v>
      </c>
      <c r="H228" s="32">
        <v>716.42</v>
      </c>
      <c r="I228" s="33">
        <v>10</v>
      </c>
      <c r="J228" t="s">
        <v>32</v>
      </c>
      <c r="K228" t="s">
        <v>92</v>
      </c>
      <c r="L228" t="s">
        <v>38</v>
      </c>
      <c r="M228" t="s">
        <v>128</v>
      </c>
      <c r="N228" s="32">
        <v>1934.3340000000001</v>
      </c>
    </row>
    <row r="229" spans="1:14" x14ac:dyDescent="0.3">
      <c r="A229" t="s">
        <v>588</v>
      </c>
      <c r="B229" s="8">
        <v>45713</v>
      </c>
      <c r="C229" t="s">
        <v>86</v>
      </c>
      <c r="D229" t="s">
        <v>21</v>
      </c>
      <c r="E229" t="s">
        <v>13</v>
      </c>
      <c r="F229" t="s">
        <v>28</v>
      </c>
      <c r="G229">
        <v>2</v>
      </c>
      <c r="H229" s="32">
        <v>101.57</v>
      </c>
      <c r="I229" s="33">
        <v>15</v>
      </c>
      <c r="J229" t="s">
        <v>33</v>
      </c>
      <c r="K229" t="s">
        <v>77</v>
      </c>
      <c r="L229" t="s">
        <v>37</v>
      </c>
      <c r="M229" t="s">
        <v>347</v>
      </c>
      <c r="N229" s="32">
        <v>172.66900000000001</v>
      </c>
    </row>
    <row r="230" spans="1:14" x14ac:dyDescent="0.3">
      <c r="A230" t="s">
        <v>589</v>
      </c>
      <c r="B230" s="8">
        <v>45771</v>
      </c>
      <c r="C230" t="s">
        <v>121</v>
      </c>
      <c r="D230" t="s">
        <v>19</v>
      </c>
      <c r="E230" t="s">
        <v>6</v>
      </c>
      <c r="F230" t="s">
        <v>26</v>
      </c>
      <c r="G230">
        <v>1</v>
      </c>
      <c r="H230" s="32">
        <v>721.23</v>
      </c>
      <c r="I230" s="33">
        <v>10</v>
      </c>
      <c r="J230" t="s">
        <v>31</v>
      </c>
      <c r="K230" t="s">
        <v>77</v>
      </c>
      <c r="L230" t="s">
        <v>38</v>
      </c>
      <c r="M230" t="s">
        <v>332</v>
      </c>
      <c r="N230" s="32">
        <v>649.10699999999997</v>
      </c>
    </row>
    <row r="231" spans="1:14" x14ac:dyDescent="0.3">
      <c r="A231" t="s">
        <v>590</v>
      </c>
      <c r="B231" s="8">
        <v>45730</v>
      </c>
      <c r="C231" t="s">
        <v>91</v>
      </c>
      <c r="D231" t="s">
        <v>16</v>
      </c>
      <c r="E231" t="s">
        <v>12</v>
      </c>
      <c r="F231" t="s">
        <v>25</v>
      </c>
      <c r="G231">
        <v>1</v>
      </c>
      <c r="H231" s="32">
        <v>136.22</v>
      </c>
      <c r="I231" s="33">
        <v>5</v>
      </c>
      <c r="J231" t="s">
        <v>31</v>
      </c>
      <c r="K231" t="s">
        <v>77</v>
      </c>
      <c r="L231" t="s">
        <v>37</v>
      </c>
      <c r="M231" t="s">
        <v>184</v>
      </c>
      <c r="N231" s="32">
        <v>129.40899999999999</v>
      </c>
    </row>
    <row r="232" spans="1:14" x14ac:dyDescent="0.3">
      <c r="A232" t="s">
        <v>592</v>
      </c>
      <c r="B232" s="8">
        <v>45889</v>
      </c>
      <c r="C232" t="s">
        <v>76</v>
      </c>
      <c r="D232" t="s">
        <v>16</v>
      </c>
      <c r="E232" t="s">
        <v>11</v>
      </c>
      <c r="F232" t="s">
        <v>26</v>
      </c>
      <c r="G232">
        <v>1</v>
      </c>
      <c r="H232" s="32">
        <v>162.07</v>
      </c>
      <c r="I232" s="33">
        <v>0</v>
      </c>
      <c r="J232" t="s">
        <v>33</v>
      </c>
      <c r="K232" t="s">
        <v>92</v>
      </c>
      <c r="L232" t="s">
        <v>37</v>
      </c>
      <c r="M232" t="s">
        <v>594</v>
      </c>
      <c r="N232" s="32">
        <v>162.07</v>
      </c>
    </row>
    <row r="233" spans="1:14" x14ac:dyDescent="0.3">
      <c r="A233" t="s">
        <v>595</v>
      </c>
      <c r="B233" s="8">
        <v>45782</v>
      </c>
      <c r="C233" t="s">
        <v>103</v>
      </c>
      <c r="D233" t="s">
        <v>19</v>
      </c>
      <c r="E233" t="s">
        <v>12</v>
      </c>
      <c r="F233" t="s">
        <v>25</v>
      </c>
      <c r="G233">
        <v>2</v>
      </c>
      <c r="H233" s="32">
        <v>112.93</v>
      </c>
      <c r="I233" s="33">
        <v>0</v>
      </c>
      <c r="J233" t="s">
        <v>30</v>
      </c>
      <c r="K233" t="s">
        <v>77</v>
      </c>
      <c r="L233" t="s">
        <v>38</v>
      </c>
      <c r="M233" t="s">
        <v>104</v>
      </c>
      <c r="N233" s="32">
        <v>225.86</v>
      </c>
    </row>
    <row r="234" spans="1:14" x14ac:dyDescent="0.3">
      <c r="A234" t="s">
        <v>596</v>
      </c>
      <c r="B234" s="8">
        <v>45753</v>
      </c>
      <c r="C234" t="s">
        <v>114</v>
      </c>
      <c r="D234" t="s">
        <v>20</v>
      </c>
      <c r="E234" t="s">
        <v>9</v>
      </c>
      <c r="F234" t="s">
        <v>27</v>
      </c>
      <c r="G234">
        <v>3</v>
      </c>
      <c r="H234" s="32">
        <v>190.34</v>
      </c>
      <c r="I234" s="33">
        <v>15</v>
      </c>
      <c r="J234" t="s">
        <v>31</v>
      </c>
      <c r="K234" t="s">
        <v>77</v>
      </c>
      <c r="L234" t="s">
        <v>39</v>
      </c>
      <c r="M234" t="s">
        <v>366</v>
      </c>
      <c r="N234" s="32">
        <v>485.36700000000002</v>
      </c>
    </row>
    <row r="235" spans="1:14" x14ac:dyDescent="0.3">
      <c r="A235" t="s">
        <v>597</v>
      </c>
      <c r="B235" s="8">
        <v>45800</v>
      </c>
      <c r="C235" t="s">
        <v>127</v>
      </c>
      <c r="D235" t="s">
        <v>20</v>
      </c>
      <c r="E235" t="s">
        <v>6</v>
      </c>
      <c r="F235" t="s">
        <v>26</v>
      </c>
      <c r="G235">
        <v>1</v>
      </c>
      <c r="H235" s="32">
        <v>743.89</v>
      </c>
      <c r="I235" s="33">
        <v>20</v>
      </c>
      <c r="J235" t="s">
        <v>31</v>
      </c>
      <c r="K235" t="s">
        <v>87</v>
      </c>
      <c r="L235" t="s">
        <v>37</v>
      </c>
      <c r="M235" t="s">
        <v>598</v>
      </c>
      <c r="N235" s="32">
        <v>595.11199999999997</v>
      </c>
    </row>
    <row r="236" spans="1:14" x14ac:dyDescent="0.3">
      <c r="A236" t="s">
        <v>599</v>
      </c>
      <c r="B236" s="8">
        <v>45908</v>
      </c>
      <c r="C236" t="s">
        <v>86</v>
      </c>
      <c r="D236" t="s">
        <v>19</v>
      </c>
      <c r="E236" t="s">
        <v>9</v>
      </c>
      <c r="F236" t="s">
        <v>27</v>
      </c>
      <c r="G236">
        <v>1</v>
      </c>
      <c r="H236" s="32">
        <v>173.81</v>
      </c>
      <c r="I236" s="33">
        <v>5</v>
      </c>
      <c r="J236" t="s">
        <v>32</v>
      </c>
      <c r="K236" t="s">
        <v>92</v>
      </c>
      <c r="L236" t="s">
        <v>38</v>
      </c>
      <c r="M236" t="s">
        <v>184</v>
      </c>
      <c r="N236" s="32">
        <v>165.11949999999999</v>
      </c>
    </row>
    <row r="237" spans="1:14" x14ac:dyDescent="0.3">
      <c r="A237" t="s">
        <v>600</v>
      </c>
      <c r="B237" s="8">
        <v>45810</v>
      </c>
      <c r="C237" t="s">
        <v>127</v>
      </c>
      <c r="D237" t="s">
        <v>20</v>
      </c>
      <c r="E237" t="s">
        <v>7</v>
      </c>
      <c r="F237" t="s">
        <v>27</v>
      </c>
      <c r="G237">
        <v>3</v>
      </c>
      <c r="H237" s="32">
        <v>442.82</v>
      </c>
      <c r="I237" s="33">
        <v>15</v>
      </c>
      <c r="J237" t="s">
        <v>31</v>
      </c>
      <c r="K237" t="s">
        <v>87</v>
      </c>
      <c r="L237" t="s">
        <v>38</v>
      </c>
      <c r="M237" t="s">
        <v>546</v>
      </c>
      <c r="N237" s="32">
        <v>1129.191</v>
      </c>
    </row>
    <row r="238" spans="1:14" x14ac:dyDescent="0.3">
      <c r="A238" t="s">
        <v>601</v>
      </c>
      <c r="B238" s="8">
        <v>45730</v>
      </c>
      <c r="C238" t="s">
        <v>114</v>
      </c>
      <c r="D238" t="s">
        <v>18</v>
      </c>
      <c r="E238" t="s">
        <v>9</v>
      </c>
      <c r="F238" t="s">
        <v>27</v>
      </c>
      <c r="G238">
        <v>1</v>
      </c>
      <c r="H238" s="32">
        <v>170.24</v>
      </c>
      <c r="I238" s="33">
        <v>10</v>
      </c>
      <c r="J238" t="s">
        <v>31</v>
      </c>
      <c r="K238" t="s">
        <v>77</v>
      </c>
      <c r="L238" t="s">
        <v>38</v>
      </c>
      <c r="M238" t="s">
        <v>169</v>
      </c>
      <c r="N238" s="32">
        <v>153.21600000000001</v>
      </c>
    </row>
    <row r="239" spans="1:14" x14ac:dyDescent="0.3">
      <c r="A239" t="s">
        <v>602</v>
      </c>
      <c r="B239" s="8">
        <v>45746</v>
      </c>
      <c r="C239" t="s">
        <v>103</v>
      </c>
      <c r="D239" t="s">
        <v>18</v>
      </c>
      <c r="E239" t="s">
        <v>8</v>
      </c>
      <c r="F239" t="s">
        <v>25</v>
      </c>
      <c r="G239">
        <v>2</v>
      </c>
      <c r="H239" s="32">
        <v>672.32</v>
      </c>
      <c r="I239" s="33">
        <v>0</v>
      </c>
      <c r="J239" t="s">
        <v>31</v>
      </c>
      <c r="K239" t="s">
        <v>82</v>
      </c>
      <c r="L239" t="s">
        <v>38</v>
      </c>
      <c r="M239" t="s">
        <v>582</v>
      </c>
      <c r="N239" s="32">
        <v>1344.64</v>
      </c>
    </row>
    <row r="240" spans="1:14" x14ac:dyDescent="0.3">
      <c r="A240" t="s">
        <v>604</v>
      </c>
      <c r="B240" s="8">
        <v>45662</v>
      </c>
      <c r="C240" t="s">
        <v>103</v>
      </c>
      <c r="D240" t="s">
        <v>21</v>
      </c>
      <c r="E240" t="s">
        <v>11</v>
      </c>
      <c r="F240" t="s">
        <v>26</v>
      </c>
      <c r="G240">
        <v>2</v>
      </c>
      <c r="H240" s="32">
        <v>167.46</v>
      </c>
      <c r="I240" s="33">
        <v>20</v>
      </c>
      <c r="J240" t="s">
        <v>32</v>
      </c>
      <c r="K240" t="s">
        <v>77</v>
      </c>
      <c r="L240" t="s">
        <v>39</v>
      </c>
      <c r="M240" t="s">
        <v>178</v>
      </c>
      <c r="N240" s="32">
        <v>267.93599999999998</v>
      </c>
    </row>
    <row r="241" spans="1:14" x14ac:dyDescent="0.3">
      <c r="A241" t="s">
        <v>606</v>
      </c>
      <c r="B241" s="8">
        <v>45908</v>
      </c>
      <c r="C241" t="s">
        <v>76</v>
      </c>
      <c r="D241" t="s">
        <v>19</v>
      </c>
      <c r="E241" t="s">
        <v>11</v>
      </c>
      <c r="F241" t="s">
        <v>26</v>
      </c>
      <c r="G241">
        <v>1</v>
      </c>
      <c r="H241" s="32">
        <v>166.5</v>
      </c>
      <c r="I241" s="33">
        <v>0</v>
      </c>
      <c r="J241" t="s">
        <v>31</v>
      </c>
      <c r="K241" t="s">
        <v>87</v>
      </c>
      <c r="L241" t="s">
        <v>37</v>
      </c>
      <c r="M241" t="s">
        <v>78</v>
      </c>
      <c r="N241" s="32">
        <v>166.5</v>
      </c>
    </row>
    <row r="242" spans="1:14" x14ac:dyDescent="0.3">
      <c r="A242" t="s">
        <v>607</v>
      </c>
      <c r="B242" s="8">
        <v>45892</v>
      </c>
      <c r="C242" t="s">
        <v>99</v>
      </c>
      <c r="D242" t="s">
        <v>19</v>
      </c>
      <c r="E242" t="s">
        <v>14</v>
      </c>
      <c r="F242" t="s">
        <v>28</v>
      </c>
      <c r="G242">
        <v>1</v>
      </c>
      <c r="H242" s="32">
        <v>53.47</v>
      </c>
      <c r="I242" s="33">
        <v>10</v>
      </c>
      <c r="J242" t="s">
        <v>33</v>
      </c>
      <c r="K242" t="s">
        <v>92</v>
      </c>
      <c r="L242" t="s">
        <v>38</v>
      </c>
      <c r="M242" t="s">
        <v>513</v>
      </c>
      <c r="N242" s="32">
        <v>48.122999999999998</v>
      </c>
    </row>
    <row r="243" spans="1:14" x14ac:dyDescent="0.3">
      <c r="A243" t="s">
        <v>608</v>
      </c>
      <c r="B243" s="8">
        <v>45679</v>
      </c>
      <c r="C243" t="s">
        <v>121</v>
      </c>
      <c r="D243" t="s">
        <v>21</v>
      </c>
      <c r="E243" t="s">
        <v>13</v>
      </c>
      <c r="F243" t="s">
        <v>28</v>
      </c>
      <c r="G243">
        <v>3</v>
      </c>
      <c r="H243" s="32">
        <v>89.25</v>
      </c>
      <c r="I243" s="33">
        <v>5</v>
      </c>
      <c r="J243" t="s">
        <v>33</v>
      </c>
      <c r="K243" t="s">
        <v>82</v>
      </c>
      <c r="L243" t="s">
        <v>39</v>
      </c>
      <c r="M243" t="s">
        <v>538</v>
      </c>
      <c r="N243" s="32">
        <v>254.36250000000001</v>
      </c>
    </row>
    <row r="244" spans="1:14" x14ac:dyDescent="0.3">
      <c r="A244" t="s">
        <v>610</v>
      </c>
      <c r="B244" s="8">
        <v>45702</v>
      </c>
      <c r="C244" t="s">
        <v>76</v>
      </c>
      <c r="D244" t="s">
        <v>21</v>
      </c>
      <c r="E244" t="s">
        <v>10</v>
      </c>
      <c r="F244" t="s">
        <v>25</v>
      </c>
      <c r="G244">
        <v>1</v>
      </c>
      <c r="H244" s="32">
        <v>345.5</v>
      </c>
      <c r="I244" s="33">
        <v>0</v>
      </c>
      <c r="J244" t="s">
        <v>30</v>
      </c>
      <c r="K244" t="s">
        <v>77</v>
      </c>
      <c r="L244" t="s">
        <v>39</v>
      </c>
      <c r="M244" t="s">
        <v>311</v>
      </c>
      <c r="N244" s="32">
        <v>345.5</v>
      </c>
    </row>
    <row r="245" spans="1:14" x14ac:dyDescent="0.3">
      <c r="A245" t="s">
        <v>612</v>
      </c>
      <c r="B245" s="8">
        <v>45763</v>
      </c>
      <c r="C245" t="s">
        <v>127</v>
      </c>
      <c r="D245" t="s">
        <v>16</v>
      </c>
      <c r="E245" t="s">
        <v>5</v>
      </c>
      <c r="F245" t="s">
        <v>25</v>
      </c>
      <c r="G245">
        <v>1</v>
      </c>
      <c r="H245" s="32">
        <v>904.07</v>
      </c>
      <c r="I245" s="33">
        <v>10</v>
      </c>
      <c r="J245" t="s">
        <v>30</v>
      </c>
      <c r="K245" t="s">
        <v>82</v>
      </c>
      <c r="L245" t="s">
        <v>37</v>
      </c>
      <c r="M245" t="s">
        <v>247</v>
      </c>
      <c r="N245" s="32">
        <v>813.66300000000001</v>
      </c>
    </row>
    <row r="246" spans="1:14" x14ac:dyDescent="0.3">
      <c r="A246" t="s">
        <v>613</v>
      </c>
      <c r="B246" s="8">
        <v>45921</v>
      </c>
      <c r="C246" t="s">
        <v>103</v>
      </c>
      <c r="D246" t="s">
        <v>18</v>
      </c>
      <c r="E246" t="s">
        <v>14</v>
      </c>
      <c r="F246" t="s">
        <v>28</v>
      </c>
      <c r="G246">
        <v>1</v>
      </c>
      <c r="H246" s="32">
        <v>53.18</v>
      </c>
      <c r="I246" s="33">
        <v>0</v>
      </c>
      <c r="J246" t="s">
        <v>30</v>
      </c>
      <c r="K246" t="s">
        <v>82</v>
      </c>
      <c r="L246" t="s">
        <v>37</v>
      </c>
      <c r="M246" t="s">
        <v>22</v>
      </c>
      <c r="N246" s="32">
        <v>53.18</v>
      </c>
    </row>
    <row r="247" spans="1:14" x14ac:dyDescent="0.3">
      <c r="A247" t="s">
        <v>615</v>
      </c>
      <c r="B247" s="8">
        <v>45784</v>
      </c>
      <c r="C247" t="s">
        <v>99</v>
      </c>
      <c r="D247" t="s">
        <v>21</v>
      </c>
      <c r="E247" t="s">
        <v>9</v>
      </c>
      <c r="F247" t="s">
        <v>27</v>
      </c>
      <c r="G247">
        <v>1</v>
      </c>
      <c r="H247" s="32">
        <v>176.49</v>
      </c>
      <c r="I247" s="33">
        <v>10</v>
      </c>
      <c r="J247" t="s">
        <v>30</v>
      </c>
      <c r="K247" t="s">
        <v>77</v>
      </c>
      <c r="L247" t="s">
        <v>39</v>
      </c>
      <c r="M247" t="s">
        <v>93</v>
      </c>
      <c r="N247" s="32">
        <v>158.84100000000001</v>
      </c>
    </row>
    <row r="248" spans="1:14" x14ac:dyDescent="0.3">
      <c r="A248" t="s">
        <v>617</v>
      </c>
      <c r="B248" s="8">
        <v>45705</v>
      </c>
      <c r="C248" t="s">
        <v>121</v>
      </c>
      <c r="D248" t="s">
        <v>17</v>
      </c>
      <c r="E248" t="s">
        <v>11</v>
      </c>
      <c r="F248" t="s">
        <v>26</v>
      </c>
      <c r="G248">
        <v>1</v>
      </c>
      <c r="H248" s="32">
        <v>164.8</v>
      </c>
      <c r="I248" s="33">
        <v>0</v>
      </c>
      <c r="J248" t="s">
        <v>30</v>
      </c>
      <c r="K248" t="s">
        <v>77</v>
      </c>
      <c r="L248" t="s">
        <v>39</v>
      </c>
      <c r="M248" t="s">
        <v>139</v>
      </c>
      <c r="N248" s="32">
        <v>164.8</v>
      </c>
    </row>
    <row r="249" spans="1:14" x14ac:dyDescent="0.3">
      <c r="A249" t="s">
        <v>619</v>
      </c>
      <c r="B249" s="8">
        <v>45705</v>
      </c>
      <c r="C249" t="s">
        <v>86</v>
      </c>
      <c r="D249" t="s">
        <v>20</v>
      </c>
      <c r="E249" t="s">
        <v>7</v>
      </c>
      <c r="F249" t="s">
        <v>27</v>
      </c>
      <c r="G249">
        <v>2</v>
      </c>
      <c r="H249" s="32">
        <v>469.24</v>
      </c>
      <c r="I249" s="33">
        <v>20</v>
      </c>
      <c r="J249" t="s">
        <v>32</v>
      </c>
      <c r="K249" t="s">
        <v>82</v>
      </c>
      <c r="L249" t="s">
        <v>38</v>
      </c>
      <c r="M249" t="s">
        <v>366</v>
      </c>
      <c r="N249" s="32">
        <v>750.78399999999999</v>
      </c>
    </row>
    <row r="250" spans="1:14" x14ac:dyDescent="0.3">
      <c r="A250" t="s">
        <v>620</v>
      </c>
      <c r="B250" s="8">
        <v>45803</v>
      </c>
      <c r="C250" t="s">
        <v>121</v>
      </c>
      <c r="D250" t="s">
        <v>19</v>
      </c>
      <c r="E250" t="s">
        <v>9</v>
      </c>
      <c r="F250" t="s">
        <v>27</v>
      </c>
      <c r="G250">
        <v>2</v>
      </c>
      <c r="H250" s="32">
        <v>176.53</v>
      </c>
      <c r="I250" s="33">
        <v>0</v>
      </c>
      <c r="J250" t="s">
        <v>32</v>
      </c>
      <c r="K250" t="s">
        <v>87</v>
      </c>
      <c r="L250" t="s">
        <v>37</v>
      </c>
      <c r="M250" t="s">
        <v>320</v>
      </c>
      <c r="N250" s="32">
        <v>353.06</v>
      </c>
    </row>
    <row r="251" spans="1:14" x14ac:dyDescent="0.3">
      <c r="A251" t="s">
        <v>621</v>
      </c>
      <c r="B251" s="8">
        <v>45893</v>
      </c>
      <c r="C251" t="s">
        <v>76</v>
      </c>
      <c r="D251" t="s">
        <v>21</v>
      </c>
      <c r="E251" t="s">
        <v>10</v>
      </c>
      <c r="F251" t="s">
        <v>25</v>
      </c>
      <c r="G251">
        <v>1</v>
      </c>
      <c r="H251" s="32">
        <v>383.59</v>
      </c>
      <c r="I251" s="33">
        <v>5</v>
      </c>
      <c r="J251" t="s">
        <v>32</v>
      </c>
      <c r="K251" t="s">
        <v>92</v>
      </c>
      <c r="L251" t="s">
        <v>37</v>
      </c>
      <c r="M251" t="s">
        <v>366</v>
      </c>
      <c r="N251" s="32">
        <v>364.41050000000001</v>
      </c>
    </row>
    <row r="252" spans="1:14" x14ac:dyDescent="0.3">
      <c r="A252" t="s">
        <v>623</v>
      </c>
      <c r="B252" s="8">
        <v>45812</v>
      </c>
      <c r="C252" t="s">
        <v>91</v>
      </c>
      <c r="D252" t="s">
        <v>20</v>
      </c>
      <c r="E252" t="s">
        <v>9</v>
      </c>
      <c r="F252" t="s">
        <v>27</v>
      </c>
      <c r="G252">
        <v>5</v>
      </c>
      <c r="H252" s="32">
        <v>202.92</v>
      </c>
      <c r="I252" s="33">
        <v>15</v>
      </c>
      <c r="J252" t="s">
        <v>30</v>
      </c>
      <c r="K252" t="s">
        <v>87</v>
      </c>
      <c r="L252" t="s">
        <v>37</v>
      </c>
      <c r="M252" t="s">
        <v>625</v>
      </c>
      <c r="N252" s="32">
        <v>862.41</v>
      </c>
    </row>
    <row r="253" spans="1:14" x14ac:dyDescent="0.3">
      <c r="A253" t="s">
        <v>626</v>
      </c>
      <c r="B253" s="8">
        <v>45684</v>
      </c>
      <c r="C253" t="s">
        <v>91</v>
      </c>
      <c r="D253" t="s">
        <v>17</v>
      </c>
      <c r="E253" t="s">
        <v>7</v>
      </c>
      <c r="F253" t="s">
        <v>27</v>
      </c>
      <c r="G253">
        <v>2</v>
      </c>
      <c r="H253" s="32">
        <v>446.14</v>
      </c>
      <c r="I253" s="33">
        <v>15</v>
      </c>
      <c r="J253" t="s">
        <v>31</v>
      </c>
      <c r="K253" t="s">
        <v>77</v>
      </c>
      <c r="L253" t="s">
        <v>39</v>
      </c>
      <c r="M253" t="s">
        <v>361</v>
      </c>
      <c r="N253" s="32">
        <v>758.43799999999999</v>
      </c>
    </row>
    <row r="254" spans="1:14" x14ac:dyDescent="0.3">
      <c r="A254" t="s">
        <v>627</v>
      </c>
      <c r="B254" s="8">
        <v>45725</v>
      </c>
      <c r="C254" t="s">
        <v>81</v>
      </c>
      <c r="D254" t="s">
        <v>19</v>
      </c>
      <c r="E254" t="s">
        <v>12</v>
      </c>
      <c r="F254" t="s">
        <v>25</v>
      </c>
      <c r="G254">
        <v>1</v>
      </c>
      <c r="H254" s="32">
        <v>122.3</v>
      </c>
      <c r="I254" s="33">
        <v>15</v>
      </c>
      <c r="J254" t="s">
        <v>32</v>
      </c>
      <c r="K254" t="s">
        <v>92</v>
      </c>
      <c r="L254" t="s">
        <v>38</v>
      </c>
      <c r="M254" t="s">
        <v>163</v>
      </c>
      <c r="N254" s="32">
        <v>103.955</v>
      </c>
    </row>
    <row r="255" spans="1:14" x14ac:dyDescent="0.3">
      <c r="A255" t="s">
        <v>628</v>
      </c>
      <c r="B255" s="8">
        <v>45874</v>
      </c>
      <c r="C255" t="s">
        <v>99</v>
      </c>
      <c r="D255" t="s">
        <v>20</v>
      </c>
      <c r="E255" t="s">
        <v>7</v>
      </c>
      <c r="F255" t="s">
        <v>27</v>
      </c>
      <c r="G255">
        <v>3</v>
      </c>
      <c r="H255" s="32">
        <v>481.76</v>
      </c>
      <c r="I255" s="33">
        <v>0</v>
      </c>
      <c r="J255" t="s">
        <v>30</v>
      </c>
      <c r="K255" t="s">
        <v>92</v>
      </c>
      <c r="L255" t="s">
        <v>37</v>
      </c>
      <c r="M255" t="s">
        <v>88</v>
      </c>
      <c r="N255" s="32">
        <v>1445.28</v>
      </c>
    </row>
    <row r="256" spans="1:14" x14ac:dyDescent="0.3">
      <c r="A256" t="s">
        <v>629</v>
      </c>
      <c r="B256" s="8">
        <v>45728</v>
      </c>
      <c r="C256" t="s">
        <v>103</v>
      </c>
      <c r="D256" t="s">
        <v>17</v>
      </c>
      <c r="E256" t="s">
        <v>12</v>
      </c>
      <c r="F256" t="s">
        <v>25</v>
      </c>
      <c r="G256">
        <v>1</v>
      </c>
      <c r="H256" s="32">
        <v>134.43</v>
      </c>
      <c r="I256" s="33">
        <v>15</v>
      </c>
      <c r="J256" t="s">
        <v>31</v>
      </c>
      <c r="K256" t="s">
        <v>92</v>
      </c>
      <c r="L256" t="s">
        <v>39</v>
      </c>
      <c r="M256" t="s">
        <v>163</v>
      </c>
      <c r="N256" s="32">
        <v>114.2655</v>
      </c>
    </row>
    <row r="257" spans="1:14" x14ac:dyDescent="0.3">
      <c r="A257" t="s">
        <v>630</v>
      </c>
      <c r="B257" s="8">
        <v>45767</v>
      </c>
      <c r="C257" t="s">
        <v>114</v>
      </c>
      <c r="D257" t="s">
        <v>19</v>
      </c>
      <c r="E257" t="s">
        <v>5</v>
      </c>
      <c r="F257" t="s">
        <v>25</v>
      </c>
      <c r="G257">
        <v>2</v>
      </c>
      <c r="H257" s="32">
        <v>959.52</v>
      </c>
      <c r="I257" s="33">
        <v>15</v>
      </c>
      <c r="J257" t="s">
        <v>32</v>
      </c>
      <c r="K257" t="s">
        <v>82</v>
      </c>
      <c r="L257" t="s">
        <v>37</v>
      </c>
      <c r="M257" t="s">
        <v>503</v>
      </c>
      <c r="N257" s="32">
        <v>1631.184</v>
      </c>
    </row>
    <row r="258" spans="1:14" x14ac:dyDescent="0.3">
      <c r="A258" t="s">
        <v>632</v>
      </c>
      <c r="B258" s="8">
        <v>45854</v>
      </c>
      <c r="C258" t="s">
        <v>114</v>
      </c>
      <c r="D258" t="s">
        <v>16</v>
      </c>
      <c r="E258" t="s">
        <v>12</v>
      </c>
      <c r="F258" t="s">
        <v>25</v>
      </c>
      <c r="G258">
        <v>1</v>
      </c>
      <c r="H258" s="32">
        <v>111.69</v>
      </c>
      <c r="I258" s="33">
        <v>20</v>
      </c>
      <c r="J258" t="s">
        <v>31</v>
      </c>
      <c r="K258" t="s">
        <v>82</v>
      </c>
      <c r="L258" t="s">
        <v>37</v>
      </c>
      <c r="M258" t="s">
        <v>300</v>
      </c>
      <c r="N258" s="32">
        <v>89.352000000000004</v>
      </c>
    </row>
    <row r="259" spans="1:14" x14ac:dyDescent="0.3">
      <c r="A259" t="s">
        <v>633</v>
      </c>
      <c r="B259" s="8">
        <v>45803</v>
      </c>
      <c r="C259" t="s">
        <v>91</v>
      </c>
      <c r="D259" t="s">
        <v>21</v>
      </c>
      <c r="E259" t="s">
        <v>12</v>
      </c>
      <c r="F259" t="s">
        <v>25</v>
      </c>
      <c r="G259">
        <v>1</v>
      </c>
      <c r="H259" s="32">
        <v>126.03</v>
      </c>
      <c r="I259" s="33">
        <v>10</v>
      </c>
      <c r="J259" t="s">
        <v>31</v>
      </c>
      <c r="K259" t="s">
        <v>77</v>
      </c>
      <c r="L259" t="s">
        <v>37</v>
      </c>
      <c r="M259" t="s">
        <v>122</v>
      </c>
      <c r="N259" s="32">
        <v>113.42700000000001</v>
      </c>
    </row>
    <row r="260" spans="1:14" x14ac:dyDescent="0.3">
      <c r="A260" t="s">
        <v>634</v>
      </c>
      <c r="B260" s="8">
        <v>45780</v>
      </c>
      <c r="C260" t="s">
        <v>114</v>
      </c>
      <c r="D260" t="s">
        <v>20</v>
      </c>
      <c r="E260" t="s">
        <v>10</v>
      </c>
      <c r="F260" t="s">
        <v>25</v>
      </c>
      <c r="G260">
        <v>3</v>
      </c>
      <c r="H260" s="32">
        <v>384.46</v>
      </c>
      <c r="I260" s="33">
        <v>0</v>
      </c>
      <c r="J260" t="s">
        <v>32</v>
      </c>
      <c r="K260" t="s">
        <v>92</v>
      </c>
      <c r="L260" t="s">
        <v>39</v>
      </c>
      <c r="M260" t="s">
        <v>635</v>
      </c>
      <c r="N260" s="32">
        <v>1153.3800000000001</v>
      </c>
    </row>
    <row r="261" spans="1:14" x14ac:dyDescent="0.3">
      <c r="A261" t="s">
        <v>636</v>
      </c>
      <c r="B261" s="8">
        <v>45873</v>
      </c>
      <c r="C261" t="s">
        <v>121</v>
      </c>
      <c r="D261" t="s">
        <v>17</v>
      </c>
      <c r="E261" t="s">
        <v>7</v>
      </c>
      <c r="F261" t="s">
        <v>27</v>
      </c>
      <c r="G261">
        <v>4</v>
      </c>
      <c r="H261" s="32">
        <v>391.86</v>
      </c>
      <c r="I261" s="33">
        <v>0</v>
      </c>
      <c r="J261" t="s">
        <v>32</v>
      </c>
      <c r="K261" t="s">
        <v>92</v>
      </c>
      <c r="L261" t="s">
        <v>37</v>
      </c>
      <c r="M261" t="s">
        <v>22</v>
      </c>
      <c r="N261" s="32">
        <v>1567.44</v>
      </c>
    </row>
    <row r="262" spans="1:14" x14ac:dyDescent="0.3">
      <c r="A262" t="s">
        <v>638</v>
      </c>
      <c r="B262" s="8">
        <v>45678</v>
      </c>
      <c r="C262" t="s">
        <v>114</v>
      </c>
      <c r="D262" t="s">
        <v>19</v>
      </c>
      <c r="E262" t="s">
        <v>5</v>
      </c>
      <c r="F262" t="s">
        <v>25</v>
      </c>
      <c r="G262">
        <v>1</v>
      </c>
      <c r="H262" s="32">
        <v>917.27</v>
      </c>
      <c r="I262" s="33">
        <v>0</v>
      </c>
      <c r="J262" t="s">
        <v>32</v>
      </c>
      <c r="K262" t="s">
        <v>77</v>
      </c>
      <c r="L262" t="s">
        <v>37</v>
      </c>
      <c r="M262" t="s">
        <v>108</v>
      </c>
      <c r="N262" s="32">
        <v>917.27</v>
      </c>
    </row>
    <row r="263" spans="1:14" x14ac:dyDescent="0.3">
      <c r="A263" t="s">
        <v>639</v>
      </c>
      <c r="B263" s="8">
        <v>45736</v>
      </c>
      <c r="C263" t="s">
        <v>76</v>
      </c>
      <c r="D263" t="s">
        <v>16</v>
      </c>
      <c r="E263" t="s">
        <v>12</v>
      </c>
      <c r="F263" t="s">
        <v>25</v>
      </c>
      <c r="G263">
        <v>2</v>
      </c>
      <c r="H263" s="32">
        <v>124.13</v>
      </c>
      <c r="I263" s="33">
        <v>0</v>
      </c>
      <c r="J263" t="s">
        <v>31</v>
      </c>
      <c r="K263" t="s">
        <v>82</v>
      </c>
      <c r="L263" t="s">
        <v>37</v>
      </c>
      <c r="M263" t="s">
        <v>598</v>
      </c>
      <c r="N263" s="32">
        <v>248.26</v>
      </c>
    </row>
    <row r="264" spans="1:14" x14ac:dyDescent="0.3">
      <c r="A264" t="s">
        <v>640</v>
      </c>
      <c r="B264" s="8">
        <v>45691</v>
      </c>
      <c r="C264" t="s">
        <v>114</v>
      </c>
      <c r="D264" t="s">
        <v>17</v>
      </c>
      <c r="E264" t="s">
        <v>6</v>
      </c>
      <c r="F264" t="s">
        <v>26</v>
      </c>
      <c r="G264">
        <v>2</v>
      </c>
      <c r="H264" s="32">
        <v>850.83</v>
      </c>
      <c r="I264" s="33">
        <v>20</v>
      </c>
      <c r="J264" t="s">
        <v>31</v>
      </c>
      <c r="K264" t="s">
        <v>92</v>
      </c>
      <c r="L264" t="s">
        <v>37</v>
      </c>
      <c r="M264" t="s">
        <v>483</v>
      </c>
      <c r="N264" s="32">
        <v>1361.328</v>
      </c>
    </row>
    <row r="265" spans="1:14" x14ac:dyDescent="0.3">
      <c r="A265" t="s">
        <v>642</v>
      </c>
      <c r="B265" s="8">
        <v>45686</v>
      </c>
      <c r="C265" t="s">
        <v>103</v>
      </c>
      <c r="D265" t="s">
        <v>20</v>
      </c>
      <c r="E265" t="s">
        <v>12</v>
      </c>
      <c r="F265" t="s">
        <v>25</v>
      </c>
      <c r="G265">
        <v>4</v>
      </c>
      <c r="H265" s="32">
        <v>111.48</v>
      </c>
      <c r="I265" s="33">
        <v>0</v>
      </c>
      <c r="J265" t="s">
        <v>31</v>
      </c>
      <c r="K265" t="s">
        <v>92</v>
      </c>
      <c r="L265" t="s">
        <v>37</v>
      </c>
      <c r="M265" t="s">
        <v>643</v>
      </c>
      <c r="N265" s="32">
        <v>445.92</v>
      </c>
    </row>
    <row r="266" spans="1:14" x14ac:dyDescent="0.3">
      <c r="A266" t="s">
        <v>644</v>
      </c>
      <c r="B266" s="8">
        <v>45790</v>
      </c>
      <c r="C266" t="s">
        <v>86</v>
      </c>
      <c r="D266" t="s">
        <v>21</v>
      </c>
      <c r="E266" t="s">
        <v>11</v>
      </c>
      <c r="F266" t="s">
        <v>26</v>
      </c>
      <c r="G266">
        <v>4</v>
      </c>
      <c r="H266" s="32">
        <v>154.61000000000001</v>
      </c>
      <c r="I266" s="33">
        <v>15</v>
      </c>
      <c r="J266" t="s">
        <v>30</v>
      </c>
      <c r="K266" t="s">
        <v>92</v>
      </c>
      <c r="L266" t="s">
        <v>37</v>
      </c>
      <c r="M266" t="s">
        <v>458</v>
      </c>
      <c r="N266" s="32">
        <v>525.67399999999998</v>
      </c>
    </row>
    <row r="267" spans="1:14" x14ac:dyDescent="0.3">
      <c r="A267" t="s">
        <v>646</v>
      </c>
      <c r="B267" s="8">
        <v>45690</v>
      </c>
      <c r="C267" t="s">
        <v>127</v>
      </c>
      <c r="D267" t="s">
        <v>17</v>
      </c>
      <c r="E267" t="s">
        <v>7</v>
      </c>
      <c r="F267" t="s">
        <v>27</v>
      </c>
      <c r="G267">
        <v>3</v>
      </c>
      <c r="H267" s="32">
        <v>406.56</v>
      </c>
      <c r="I267" s="33">
        <v>0</v>
      </c>
      <c r="J267" t="s">
        <v>32</v>
      </c>
      <c r="K267" t="s">
        <v>77</v>
      </c>
      <c r="L267" t="s">
        <v>37</v>
      </c>
      <c r="M267" t="s">
        <v>128</v>
      </c>
      <c r="N267" s="32">
        <v>1219.68</v>
      </c>
    </row>
    <row r="268" spans="1:14" x14ac:dyDescent="0.3">
      <c r="A268" t="s">
        <v>648</v>
      </c>
      <c r="B268" s="8">
        <v>45681</v>
      </c>
      <c r="C268" t="s">
        <v>86</v>
      </c>
      <c r="D268" t="s">
        <v>18</v>
      </c>
      <c r="E268" t="s">
        <v>10</v>
      </c>
      <c r="F268" t="s">
        <v>25</v>
      </c>
      <c r="G268">
        <v>3</v>
      </c>
      <c r="H268" s="32">
        <v>316.08</v>
      </c>
      <c r="I268" s="33">
        <v>0</v>
      </c>
      <c r="J268" t="s">
        <v>31</v>
      </c>
      <c r="K268" t="s">
        <v>92</v>
      </c>
      <c r="L268" t="s">
        <v>39</v>
      </c>
      <c r="M268" t="s">
        <v>650</v>
      </c>
      <c r="N268" s="32">
        <v>948.24</v>
      </c>
    </row>
    <row r="269" spans="1:14" x14ac:dyDescent="0.3">
      <c r="A269" t="s">
        <v>651</v>
      </c>
      <c r="B269" s="8">
        <v>45821</v>
      </c>
      <c r="C269" t="s">
        <v>76</v>
      </c>
      <c r="D269" t="s">
        <v>19</v>
      </c>
      <c r="E269" t="s">
        <v>9</v>
      </c>
      <c r="F269" t="s">
        <v>27</v>
      </c>
      <c r="G269">
        <v>1</v>
      </c>
      <c r="H269" s="32">
        <v>180.73</v>
      </c>
      <c r="I269" s="33">
        <v>0</v>
      </c>
      <c r="J269" t="s">
        <v>33</v>
      </c>
      <c r="K269" t="s">
        <v>92</v>
      </c>
      <c r="L269" t="s">
        <v>37</v>
      </c>
      <c r="M269" t="s">
        <v>568</v>
      </c>
      <c r="N269" s="32">
        <v>180.73</v>
      </c>
    </row>
    <row r="270" spans="1:14" x14ac:dyDescent="0.3">
      <c r="A270" t="s">
        <v>652</v>
      </c>
      <c r="B270" s="8">
        <v>45863</v>
      </c>
      <c r="C270" t="s">
        <v>99</v>
      </c>
      <c r="D270" t="s">
        <v>16</v>
      </c>
      <c r="E270" t="s">
        <v>9</v>
      </c>
      <c r="F270" t="s">
        <v>27</v>
      </c>
      <c r="G270">
        <v>3</v>
      </c>
      <c r="H270" s="32">
        <v>206.16</v>
      </c>
      <c r="I270" s="33">
        <v>20</v>
      </c>
      <c r="J270" t="s">
        <v>30</v>
      </c>
      <c r="K270" t="s">
        <v>87</v>
      </c>
      <c r="L270" t="s">
        <v>37</v>
      </c>
      <c r="M270" t="s">
        <v>503</v>
      </c>
      <c r="N270" s="32">
        <v>494.78399999999999</v>
      </c>
    </row>
    <row r="271" spans="1:14" x14ac:dyDescent="0.3">
      <c r="A271" t="s">
        <v>653</v>
      </c>
      <c r="B271" s="8">
        <v>45807</v>
      </c>
      <c r="C271" t="s">
        <v>91</v>
      </c>
      <c r="D271" t="s">
        <v>17</v>
      </c>
      <c r="E271" t="s">
        <v>13</v>
      </c>
      <c r="F271" t="s">
        <v>28</v>
      </c>
      <c r="G271">
        <v>1</v>
      </c>
      <c r="H271" s="32">
        <v>89.3</v>
      </c>
      <c r="I271" s="33">
        <v>10</v>
      </c>
      <c r="J271" t="s">
        <v>31</v>
      </c>
      <c r="K271" t="s">
        <v>77</v>
      </c>
      <c r="L271" t="s">
        <v>38</v>
      </c>
      <c r="M271" t="s">
        <v>100</v>
      </c>
      <c r="N271" s="32">
        <v>80.37</v>
      </c>
    </row>
    <row r="272" spans="1:14" x14ac:dyDescent="0.3">
      <c r="A272" t="s">
        <v>654</v>
      </c>
      <c r="B272" s="8">
        <v>45758</v>
      </c>
      <c r="C272" t="s">
        <v>81</v>
      </c>
      <c r="D272" t="s">
        <v>21</v>
      </c>
      <c r="E272" t="s">
        <v>5</v>
      </c>
      <c r="F272" t="s">
        <v>25</v>
      </c>
      <c r="G272">
        <v>5</v>
      </c>
      <c r="H272" s="32">
        <v>1091.97</v>
      </c>
      <c r="I272" s="33">
        <v>0</v>
      </c>
      <c r="J272" t="s">
        <v>32</v>
      </c>
      <c r="K272" t="s">
        <v>92</v>
      </c>
      <c r="L272" t="s">
        <v>38</v>
      </c>
      <c r="M272" t="s">
        <v>304</v>
      </c>
      <c r="N272" s="32">
        <v>5459.85</v>
      </c>
    </row>
    <row r="273" spans="1:14" x14ac:dyDescent="0.3">
      <c r="A273" t="s">
        <v>655</v>
      </c>
      <c r="B273" s="8">
        <v>45662</v>
      </c>
      <c r="C273" t="s">
        <v>107</v>
      </c>
      <c r="D273" t="s">
        <v>17</v>
      </c>
      <c r="E273" t="s">
        <v>13</v>
      </c>
      <c r="F273" t="s">
        <v>28</v>
      </c>
      <c r="G273">
        <v>1</v>
      </c>
      <c r="H273" s="32">
        <v>99.89</v>
      </c>
      <c r="I273" s="33">
        <v>5</v>
      </c>
      <c r="J273" t="s">
        <v>30</v>
      </c>
      <c r="K273" t="s">
        <v>92</v>
      </c>
      <c r="L273" t="s">
        <v>37</v>
      </c>
      <c r="M273" t="s">
        <v>486</v>
      </c>
      <c r="N273" s="32">
        <v>94.895499999999998</v>
      </c>
    </row>
    <row r="274" spans="1:14" x14ac:dyDescent="0.3">
      <c r="A274" t="s">
        <v>656</v>
      </c>
      <c r="B274" s="8">
        <v>45688</v>
      </c>
      <c r="C274" t="s">
        <v>91</v>
      </c>
      <c r="D274" t="s">
        <v>20</v>
      </c>
      <c r="E274" t="s">
        <v>13</v>
      </c>
      <c r="F274" t="s">
        <v>28</v>
      </c>
      <c r="G274">
        <v>5</v>
      </c>
      <c r="H274" s="32">
        <v>90.45</v>
      </c>
      <c r="I274" s="33">
        <v>0</v>
      </c>
      <c r="J274" t="s">
        <v>31</v>
      </c>
      <c r="K274" t="s">
        <v>77</v>
      </c>
      <c r="L274" t="s">
        <v>37</v>
      </c>
      <c r="M274" t="s">
        <v>332</v>
      </c>
      <c r="N274" s="32">
        <v>452.25</v>
      </c>
    </row>
    <row r="275" spans="1:14" x14ac:dyDescent="0.3">
      <c r="A275" t="s">
        <v>657</v>
      </c>
      <c r="B275" s="8">
        <v>45706</v>
      </c>
      <c r="C275" t="s">
        <v>103</v>
      </c>
      <c r="D275" t="s">
        <v>17</v>
      </c>
      <c r="E275" t="s">
        <v>11</v>
      </c>
      <c r="F275" t="s">
        <v>26</v>
      </c>
      <c r="G275">
        <v>5</v>
      </c>
      <c r="H275" s="32">
        <v>138.18</v>
      </c>
      <c r="I275" s="33">
        <v>20</v>
      </c>
      <c r="J275" t="s">
        <v>32</v>
      </c>
      <c r="K275" t="s">
        <v>92</v>
      </c>
      <c r="L275" t="s">
        <v>38</v>
      </c>
      <c r="M275" t="s">
        <v>341</v>
      </c>
      <c r="N275" s="32">
        <v>552.72</v>
      </c>
    </row>
    <row r="276" spans="1:14" x14ac:dyDescent="0.3">
      <c r="A276" t="s">
        <v>659</v>
      </c>
      <c r="B276" s="8">
        <v>45807</v>
      </c>
      <c r="C276" t="s">
        <v>86</v>
      </c>
      <c r="D276" t="s">
        <v>18</v>
      </c>
      <c r="E276" t="s">
        <v>6</v>
      </c>
      <c r="F276" t="s">
        <v>26</v>
      </c>
      <c r="G276">
        <v>2</v>
      </c>
      <c r="H276" s="32">
        <v>727.49</v>
      </c>
      <c r="I276" s="33">
        <v>15</v>
      </c>
      <c r="J276" t="s">
        <v>30</v>
      </c>
      <c r="K276" t="s">
        <v>87</v>
      </c>
      <c r="L276" t="s">
        <v>37</v>
      </c>
      <c r="M276" t="s">
        <v>408</v>
      </c>
      <c r="N276" s="32">
        <v>1236.7329999999999</v>
      </c>
    </row>
    <row r="277" spans="1:14" x14ac:dyDescent="0.3">
      <c r="A277" t="s">
        <v>660</v>
      </c>
      <c r="B277" s="8">
        <v>45727</v>
      </c>
      <c r="C277" t="s">
        <v>76</v>
      </c>
      <c r="D277" t="s">
        <v>21</v>
      </c>
      <c r="E277" t="s">
        <v>14</v>
      </c>
      <c r="F277" t="s">
        <v>28</v>
      </c>
      <c r="G277">
        <v>1</v>
      </c>
      <c r="H277" s="32">
        <v>62.47</v>
      </c>
      <c r="I277" s="33">
        <v>0</v>
      </c>
      <c r="J277" t="s">
        <v>31</v>
      </c>
      <c r="K277" t="s">
        <v>77</v>
      </c>
      <c r="L277" t="s">
        <v>38</v>
      </c>
      <c r="M277" t="s">
        <v>549</v>
      </c>
      <c r="N277" s="32">
        <v>62.47</v>
      </c>
    </row>
    <row r="278" spans="1:14" x14ac:dyDescent="0.3">
      <c r="A278" t="s">
        <v>661</v>
      </c>
      <c r="B278" s="8">
        <v>45764</v>
      </c>
      <c r="C278" t="s">
        <v>91</v>
      </c>
      <c r="D278" t="s">
        <v>18</v>
      </c>
      <c r="E278" t="s">
        <v>7</v>
      </c>
      <c r="F278" t="s">
        <v>27</v>
      </c>
      <c r="G278">
        <v>1</v>
      </c>
      <c r="H278" s="32">
        <v>434.27</v>
      </c>
      <c r="I278" s="33">
        <v>0</v>
      </c>
      <c r="J278" t="s">
        <v>33</v>
      </c>
      <c r="K278" t="s">
        <v>92</v>
      </c>
      <c r="L278" t="s">
        <v>39</v>
      </c>
      <c r="M278" t="s">
        <v>214</v>
      </c>
      <c r="N278" s="32">
        <v>434.27</v>
      </c>
    </row>
    <row r="279" spans="1:14" x14ac:dyDescent="0.3">
      <c r="A279" t="s">
        <v>663</v>
      </c>
      <c r="B279" s="8">
        <v>45678</v>
      </c>
      <c r="C279" t="s">
        <v>86</v>
      </c>
      <c r="D279" t="s">
        <v>21</v>
      </c>
      <c r="E279" t="s">
        <v>14</v>
      </c>
      <c r="F279" t="s">
        <v>28</v>
      </c>
      <c r="G279">
        <v>3</v>
      </c>
      <c r="H279" s="32">
        <v>59.08</v>
      </c>
      <c r="I279" s="33">
        <v>0</v>
      </c>
      <c r="J279" t="s">
        <v>31</v>
      </c>
      <c r="K279" t="s">
        <v>87</v>
      </c>
      <c r="L279" t="s">
        <v>37</v>
      </c>
      <c r="M279" t="s">
        <v>522</v>
      </c>
      <c r="N279" s="32">
        <v>177.24</v>
      </c>
    </row>
    <row r="280" spans="1:14" x14ac:dyDescent="0.3">
      <c r="A280" t="s">
        <v>664</v>
      </c>
      <c r="B280" s="8">
        <v>45747</v>
      </c>
      <c r="C280" t="s">
        <v>114</v>
      </c>
      <c r="D280" t="s">
        <v>18</v>
      </c>
      <c r="E280" t="s">
        <v>13</v>
      </c>
      <c r="F280" t="s">
        <v>28</v>
      </c>
      <c r="G280">
        <v>1</v>
      </c>
      <c r="H280" s="32">
        <v>87.72</v>
      </c>
      <c r="I280" s="33">
        <v>10</v>
      </c>
      <c r="J280" t="s">
        <v>31</v>
      </c>
      <c r="K280" t="s">
        <v>92</v>
      </c>
      <c r="L280" t="s">
        <v>37</v>
      </c>
      <c r="M280" t="s">
        <v>104</v>
      </c>
      <c r="N280" s="32">
        <v>78.947999999999993</v>
      </c>
    </row>
    <row r="281" spans="1:14" x14ac:dyDescent="0.3">
      <c r="A281" t="s">
        <v>665</v>
      </c>
      <c r="B281" s="8">
        <v>45664</v>
      </c>
      <c r="C281" t="s">
        <v>81</v>
      </c>
      <c r="D281" t="s">
        <v>21</v>
      </c>
      <c r="E281" t="s">
        <v>12</v>
      </c>
      <c r="F281" t="s">
        <v>25</v>
      </c>
      <c r="G281">
        <v>3</v>
      </c>
      <c r="H281" s="32">
        <v>112.19</v>
      </c>
      <c r="I281" s="33">
        <v>0</v>
      </c>
      <c r="J281" t="s">
        <v>32</v>
      </c>
      <c r="K281" t="s">
        <v>87</v>
      </c>
      <c r="L281" t="s">
        <v>37</v>
      </c>
      <c r="M281" t="s">
        <v>625</v>
      </c>
      <c r="N281" s="32">
        <v>336.57</v>
      </c>
    </row>
    <row r="282" spans="1:14" x14ac:dyDescent="0.3">
      <c r="A282" t="s">
        <v>667</v>
      </c>
      <c r="B282" s="8">
        <v>45696</v>
      </c>
      <c r="C282" t="s">
        <v>76</v>
      </c>
      <c r="D282" t="s">
        <v>21</v>
      </c>
      <c r="E282" t="s">
        <v>5</v>
      </c>
      <c r="F282" t="s">
        <v>25</v>
      </c>
      <c r="G282">
        <v>2</v>
      </c>
      <c r="H282" s="32">
        <v>1072.8900000000001</v>
      </c>
      <c r="I282" s="33">
        <v>15</v>
      </c>
      <c r="J282" t="s">
        <v>32</v>
      </c>
      <c r="K282" t="s">
        <v>82</v>
      </c>
      <c r="L282" t="s">
        <v>37</v>
      </c>
      <c r="M282" t="s">
        <v>361</v>
      </c>
      <c r="N282" s="32">
        <v>1823.913</v>
      </c>
    </row>
    <row r="283" spans="1:14" x14ac:dyDescent="0.3">
      <c r="A283" t="s">
        <v>669</v>
      </c>
      <c r="B283" s="8">
        <v>45683</v>
      </c>
      <c r="C283" t="s">
        <v>127</v>
      </c>
      <c r="D283" t="s">
        <v>18</v>
      </c>
      <c r="E283" t="s">
        <v>7</v>
      </c>
      <c r="F283" t="s">
        <v>27</v>
      </c>
      <c r="G283">
        <v>1</v>
      </c>
      <c r="H283" s="32">
        <v>476.94</v>
      </c>
      <c r="I283" s="33">
        <v>20</v>
      </c>
      <c r="J283" t="s">
        <v>32</v>
      </c>
      <c r="K283" t="s">
        <v>77</v>
      </c>
      <c r="L283" t="s">
        <v>37</v>
      </c>
      <c r="M283" t="s">
        <v>458</v>
      </c>
      <c r="N283" s="32">
        <v>381.55200000000002</v>
      </c>
    </row>
    <row r="284" spans="1:14" x14ac:dyDescent="0.3">
      <c r="A284" t="s">
        <v>671</v>
      </c>
      <c r="B284" s="8">
        <v>45767</v>
      </c>
      <c r="C284" t="s">
        <v>91</v>
      </c>
      <c r="D284" t="s">
        <v>16</v>
      </c>
      <c r="E284" t="s">
        <v>6</v>
      </c>
      <c r="F284" t="s">
        <v>26</v>
      </c>
      <c r="G284">
        <v>2</v>
      </c>
      <c r="H284" s="32">
        <v>735.7</v>
      </c>
      <c r="I284" s="33">
        <v>5</v>
      </c>
      <c r="J284" t="s">
        <v>31</v>
      </c>
      <c r="K284" t="s">
        <v>92</v>
      </c>
      <c r="L284" t="s">
        <v>37</v>
      </c>
      <c r="M284" t="s">
        <v>483</v>
      </c>
      <c r="N284" s="32">
        <v>1397.83</v>
      </c>
    </row>
    <row r="285" spans="1:14" x14ac:dyDescent="0.3">
      <c r="A285" t="s">
        <v>672</v>
      </c>
      <c r="B285" s="8">
        <v>45903</v>
      </c>
      <c r="C285" t="s">
        <v>76</v>
      </c>
      <c r="D285" t="s">
        <v>16</v>
      </c>
      <c r="E285" t="s">
        <v>14</v>
      </c>
      <c r="F285" t="s">
        <v>28</v>
      </c>
      <c r="G285">
        <v>2</v>
      </c>
      <c r="H285" s="32">
        <v>61.64</v>
      </c>
      <c r="I285" s="33">
        <v>5</v>
      </c>
      <c r="J285" t="s">
        <v>31</v>
      </c>
      <c r="K285" t="s">
        <v>77</v>
      </c>
      <c r="L285" t="s">
        <v>37</v>
      </c>
      <c r="M285" t="s">
        <v>498</v>
      </c>
      <c r="N285" s="32">
        <v>117.116</v>
      </c>
    </row>
    <row r="286" spans="1:14" x14ac:dyDescent="0.3">
      <c r="A286" t="s">
        <v>673</v>
      </c>
      <c r="B286" s="8">
        <v>45667</v>
      </c>
      <c r="C286" t="s">
        <v>86</v>
      </c>
      <c r="D286" t="s">
        <v>18</v>
      </c>
      <c r="E286" t="s">
        <v>13</v>
      </c>
      <c r="F286" t="s">
        <v>28</v>
      </c>
      <c r="G286">
        <v>1</v>
      </c>
      <c r="H286" s="32">
        <v>103.37</v>
      </c>
      <c r="I286" s="33">
        <v>10</v>
      </c>
      <c r="J286" t="s">
        <v>32</v>
      </c>
      <c r="K286" t="s">
        <v>87</v>
      </c>
      <c r="L286" t="s">
        <v>39</v>
      </c>
      <c r="M286" t="s">
        <v>352</v>
      </c>
      <c r="N286" s="32">
        <v>93.033000000000001</v>
      </c>
    </row>
    <row r="287" spans="1:14" x14ac:dyDescent="0.3">
      <c r="A287" t="s">
        <v>674</v>
      </c>
      <c r="B287" s="8">
        <v>45821</v>
      </c>
      <c r="C287" t="s">
        <v>81</v>
      </c>
      <c r="D287" t="s">
        <v>20</v>
      </c>
      <c r="E287" t="s">
        <v>7</v>
      </c>
      <c r="F287" t="s">
        <v>27</v>
      </c>
      <c r="G287">
        <v>1</v>
      </c>
      <c r="H287" s="32">
        <v>396.88</v>
      </c>
      <c r="I287" s="33">
        <v>20</v>
      </c>
      <c r="J287" t="s">
        <v>30</v>
      </c>
      <c r="K287" t="s">
        <v>92</v>
      </c>
      <c r="L287" t="s">
        <v>38</v>
      </c>
      <c r="M287" t="s">
        <v>286</v>
      </c>
      <c r="N287" s="32">
        <v>317.50400000000002</v>
      </c>
    </row>
    <row r="288" spans="1:14" x14ac:dyDescent="0.3">
      <c r="A288" t="s">
        <v>675</v>
      </c>
      <c r="B288" s="8">
        <v>45777</v>
      </c>
      <c r="C288" t="s">
        <v>76</v>
      </c>
      <c r="D288" t="s">
        <v>21</v>
      </c>
      <c r="E288" t="s">
        <v>13</v>
      </c>
      <c r="F288" t="s">
        <v>28</v>
      </c>
      <c r="G288">
        <v>1</v>
      </c>
      <c r="H288" s="32">
        <v>94.14</v>
      </c>
      <c r="I288" s="33">
        <v>15</v>
      </c>
      <c r="J288" t="s">
        <v>31</v>
      </c>
      <c r="K288" t="s">
        <v>87</v>
      </c>
      <c r="L288" t="s">
        <v>37</v>
      </c>
      <c r="M288" t="s">
        <v>22</v>
      </c>
      <c r="N288" s="32">
        <v>80.019000000000005</v>
      </c>
    </row>
    <row r="289" spans="1:14" x14ac:dyDescent="0.3">
      <c r="A289" t="s">
        <v>676</v>
      </c>
      <c r="B289" s="8">
        <v>45856</v>
      </c>
      <c r="C289" t="s">
        <v>103</v>
      </c>
      <c r="D289" t="s">
        <v>21</v>
      </c>
      <c r="E289" t="s">
        <v>9</v>
      </c>
      <c r="F289" t="s">
        <v>27</v>
      </c>
      <c r="G289">
        <v>2</v>
      </c>
      <c r="H289" s="32">
        <v>206.22</v>
      </c>
      <c r="I289" s="33">
        <v>0</v>
      </c>
      <c r="J289" t="s">
        <v>30</v>
      </c>
      <c r="K289" t="s">
        <v>87</v>
      </c>
      <c r="L289" t="s">
        <v>37</v>
      </c>
      <c r="M289" t="s">
        <v>458</v>
      </c>
      <c r="N289" s="32">
        <v>412.44</v>
      </c>
    </row>
    <row r="290" spans="1:14" x14ac:dyDescent="0.3">
      <c r="A290" t="s">
        <v>677</v>
      </c>
      <c r="B290" s="8">
        <v>45754</v>
      </c>
      <c r="C290" t="s">
        <v>121</v>
      </c>
      <c r="D290" t="s">
        <v>16</v>
      </c>
      <c r="E290" t="s">
        <v>7</v>
      </c>
      <c r="F290" t="s">
        <v>27</v>
      </c>
      <c r="G290">
        <v>4</v>
      </c>
      <c r="H290" s="32">
        <v>437.18</v>
      </c>
      <c r="I290" s="33">
        <v>0</v>
      </c>
      <c r="J290" t="s">
        <v>32</v>
      </c>
      <c r="K290" t="s">
        <v>92</v>
      </c>
      <c r="L290" t="s">
        <v>39</v>
      </c>
      <c r="M290" t="s">
        <v>361</v>
      </c>
      <c r="N290" s="32">
        <v>1748.72</v>
      </c>
    </row>
    <row r="291" spans="1:14" x14ac:dyDescent="0.3">
      <c r="A291" t="s">
        <v>679</v>
      </c>
      <c r="B291" s="8">
        <v>45927</v>
      </c>
      <c r="C291" t="s">
        <v>107</v>
      </c>
      <c r="D291" t="s">
        <v>22</v>
      </c>
      <c r="E291" t="s">
        <v>10</v>
      </c>
      <c r="F291" t="s">
        <v>25</v>
      </c>
      <c r="G291">
        <v>1</v>
      </c>
      <c r="H291" s="32">
        <v>334.15</v>
      </c>
      <c r="I291" s="33">
        <v>10</v>
      </c>
      <c r="J291" t="s">
        <v>31</v>
      </c>
      <c r="K291" t="s">
        <v>82</v>
      </c>
      <c r="L291" t="s">
        <v>39</v>
      </c>
      <c r="M291" t="s">
        <v>594</v>
      </c>
      <c r="N291" s="32">
        <v>300.73500000000001</v>
      </c>
    </row>
    <row r="292" spans="1:14" x14ac:dyDescent="0.3">
      <c r="A292" t="s">
        <v>680</v>
      </c>
      <c r="B292" s="8">
        <v>45823</v>
      </c>
      <c r="C292" t="s">
        <v>107</v>
      </c>
      <c r="D292" t="s">
        <v>21</v>
      </c>
      <c r="E292" t="s">
        <v>8</v>
      </c>
      <c r="F292" t="s">
        <v>25</v>
      </c>
      <c r="G292">
        <v>4</v>
      </c>
      <c r="H292" s="32">
        <v>722.2</v>
      </c>
      <c r="I292" s="33">
        <v>10</v>
      </c>
      <c r="J292" t="s">
        <v>31</v>
      </c>
      <c r="K292" t="s">
        <v>92</v>
      </c>
      <c r="L292" t="s">
        <v>37</v>
      </c>
      <c r="M292" t="s">
        <v>329</v>
      </c>
      <c r="N292" s="32">
        <v>2599.92</v>
      </c>
    </row>
    <row r="293" spans="1:14" x14ac:dyDescent="0.3">
      <c r="A293" t="s">
        <v>681</v>
      </c>
      <c r="B293" s="8">
        <v>45860</v>
      </c>
      <c r="C293" t="s">
        <v>76</v>
      </c>
      <c r="D293" t="s">
        <v>16</v>
      </c>
      <c r="E293" t="s">
        <v>12</v>
      </c>
      <c r="F293" t="s">
        <v>25</v>
      </c>
      <c r="G293">
        <v>1</v>
      </c>
      <c r="H293" s="32">
        <v>136.26</v>
      </c>
      <c r="I293" s="33">
        <v>0</v>
      </c>
      <c r="J293" t="s">
        <v>30</v>
      </c>
      <c r="K293" t="s">
        <v>82</v>
      </c>
      <c r="L293" t="s">
        <v>38</v>
      </c>
      <c r="M293" t="s">
        <v>214</v>
      </c>
      <c r="N293" s="32">
        <v>136.26</v>
      </c>
    </row>
    <row r="294" spans="1:14" x14ac:dyDescent="0.3">
      <c r="A294" t="s">
        <v>682</v>
      </c>
      <c r="B294" s="8">
        <v>45820</v>
      </c>
      <c r="C294" t="s">
        <v>121</v>
      </c>
      <c r="D294" t="s">
        <v>17</v>
      </c>
      <c r="E294" t="s">
        <v>6</v>
      </c>
      <c r="F294" t="s">
        <v>26</v>
      </c>
      <c r="G294">
        <v>3</v>
      </c>
      <c r="H294" s="32">
        <v>889.33</v>
      </c>
      <c r="I294" s="33">
        <v>10</v>
      </c>
      <c r="J294" t="s">
        <v>30</v>
      </c>
      <c r="K294" t="s">
        <v>82</v>
      </c>
      <c r="L294" t="s">
        <v>37</v>
      </c>
      <c r="M294" t="s">
        <v>448</v>
      </c>
      <c r="N294" s="32">
        <v>2401.1909999999998</v>
      </c>
    </row>
    <row r="295" spans="1:14" x14ac:dyDescent="0.3">
      <c r="A295" t="s">
        <v>683</v>
      </c>
      <c r="B295" s="8">
        <v>45723</v>
      </c>
      <c r="C295" t="s">
        <v>107</v>
      </c>
      <c r="D295" t="s">
        <v>17</v>
      </c>
      <c r="E295" t="s">
        <v>6</v>
      </c>
      <c r="F295" t="s">
        <v>26</v>
      </c>
      <c r="G295">
        <v>1</v>
      </c>
      <c r="H295" s="32">
        <v>836.26</v>
      </c>
      <c r="I295" s="33">
        <v>10</v>
      </c>
      <c r="J295" t="s">
        <v>32</v>
      </c>
      <c r="K295" t="s">
        <v>92</v>
      </c>
      <c r="L295" t="s">
        <v>37</v>
      </c>
      <c r="M295" t="s">
        <v>453</v>
      </c>
      <c r="N295" s="32">
        <v>752.63400000000001</v>
      </c>
    </row>
    <row r="296" spans="1:14" x14ac:dyDescent="0.3">
      <c r="A296" t="s">
        <v>685</v>
      </c>
      <c r="B296" s="8">
        <v>45771</v>
      </c>
      <c r="C296" t="s">
        <v>76</v>
      </c>
      <c r="D296" t="s">
        <v>18</v>
      </c>
      <c r="E296" t="s">
        <v>5</v>
      </c>
      <c r="F296" t="s">
        <v>25</v>
      </c>
      <c r="G296">
        <v>1</v>
      </c>
      <c r="H296" s="32">
        <v>1047.0899999999999</v>
      </c>
      <c r="I296" s="33">
        <v>0</v>
      </c>
      <c r="J296" t="s">
        <v>30</v>
      </c>
      <c r="K296" t="s">
        <v>92</v>
      </c>
      <c r="L296" t="s">
        <v>38</v>
      </c>
      <c r="M296" t="s">
        <v>203</v>
      </c>
      <c r="N296" s="32">
        <v>1047.0899999999999</v>
      </c>
    </row>
    <row r="297" spans="1:14" x14ac:dyDescent="0.3">
      <c r="A297" t="s">
        <v>686</v>
      </c>
      <c r="B297" s="8">
        <v>45703</v>
      </c>
      <c r="C297" t="s">
        <v>99</v>
      </c>
      <c r="D297" t="s">
        <v>20</v>
      </c>
      <c r="E297" t="s">
        <v>7</v>
      </c>
      <c r="F297" t="s">
        <v>27</v>
      </c>
      <c r="G297">
        <v>5</v>
      </c>
      <c r="H297" s="32">
        <v>395.63</v>
      </c>
      <c r="I297" s="33">
        <v>0</v>
      </c>
      <c r="J297" t="s">
        <v>31</v>
      </c>
      <c r="K297" t="s">
        <v>82</v>
      </c>
      <c r="L297" t="s">
        <v>37</v>
      </c>
      <c r="M297" t="s">
        <v>420</v>
      </c>
      <c r="N297" s="32">
        <v>1978.15</v>
      </c>
    </row>
    <row r="298" spans="1:14" x14ac:dyDescent="0.3">
      <c r="A298" t="s">
        <v>688</v>
      </c>
      <c r="B298" s="8">
        <v>45658</v>
      </c>
      <c r="C298" t="s">
        <v>114</v>
      </c>
      <c r="D298" t="s">
        <v>18</v>
      </c>
      <c r="E298" t="s">
        <v>7</v>
      </c>
      <c r="F298" t="s">
        <v>27</v>
      </c>
      <c r="G298">
        <v>1</v>
      </c>
      <c r="H298" s="32">
        <v>389.34</v>
      </c>
      <c r="I298" s="33">
        <v>15</v>
      </c>
      <c r="J298" t="s">
        <v>32</v>
      </c>
      <c r="K298" t="s">
        <v>82</v>
      </c>
      <c r="L298" t="s">
        <v>37</v>
      </c>
      <c r="M298" t="s">
        <v>181</v>
      </c>
      <c r="N298" s="32">
        <v>330.93900000000002</v>
      </c>
    </row>
    <row r="299" spans="1:14" x14ac:dyDescent="0.3">
      <c r="A299" t="s">
        <v>689</v>
      </c>
      <c r="B299" s="8">
        <v>45850</v>
      </c>
      <c r="C299" t="s">
        <v>99</v>
      </c>
      <c r="D299" t="s">
        <v>19</v>
      </c>
      <c r="E299" t="s">
        <v>11</v>
      </c>
      <c r="F299" t="s">
        <v>26</v>
      </c>
      <c r="G299">
        <v>3</v>
      </c>
      <c r="H299" s="32">
        <v>148.16999999999999</v>
      </c>
      <c r="I299" s="33">
        <v>15</v>
      </c>
      <c r="J299" t="s">
        <v>31</v>
      </c>
      <c r="K299" t="s">
        <v>82</v>
      </c>
      <c r="L299" t="s">
        <v>37</v>
      </c>
      <c r="M299" t="s">
        <v>408</v>
      </c>
      <c r="N299" s="32">
        <v>377.83350000000002</v>
      </c>
    </row>
    <row r="300" spans="1:14" x14ac:dyDescent="0.3">
      <c r="A300" t="s">
        <v>690</v>
      </c>
      <c r="B300" s="8">
        <v>45668</v>
      </c>
      <c r="C300" t="s">
        <v>91</v>
      </c>
      <c r="D300" t="s">
        <v>20</v>
      </c>
      <c r="E300" t="s">
        <v>12</v>
      </c>
      <c r="F300" t="s">
        <v>25</v>
      </c>
      <c r="G300">
        <v>3</v>
      </c>
      <c r="H300" s="32">
        <v>109</v>
      </c>
      <c r="I300" s="33">
        <v>0</v>
      </c>
      <c r="J300" t="s">
        <v>30</v>
      </c>
      <c r="K300" t="s">
        <v>82</v>
      </c>
      <c r="L300" t="s">
        <v>37</v>
      </c>
      <c r="M300" t="s">
        <v>93</v>
      </c>
      <c r="N300" s="32">
        <v>327</v>
      </c>
    </row>
    <row r="301" spans="1:14" x14ac:dyDescent="0.3">
      <c r="A301" t="s">
        <v>692</v>
      </c>
      <c r="B301" s="8">
        <v>45705</v>
      </c>
      <c r="C301" t="s">
        <v>127</v>
      </c>
      <c r="D301" t="s">
        <v>19</v>
      </c>
      <c r="E301" t="s">
        <v>8</v>
      </c>
      <c r="F301" t="s">
        <v>25</v>
      </c>
      <c r="G301">
        <v>2</v>
      </c>
      <c r="H301" s="32">
        <v>673.9</v>
      </c>
      <c r="I301" s="33">
        <v>5</v>
      </c>
      <c r="J301" t="s">
        <v>33</v>
      </c>
      <c r="K301" t="s">
        <v>77</v>
      </c>
      <c r="L301" t="s">
        <v>37</v>
      </c>
      <c r="M301" t="s">
        <v>311</v>
      </c>
      <c r="N301" s="32">
        <v>1280.4100000000001</v>
      </c>
    </row>
    <row r="302" spans="1:14" x14ac:dyDescent="0.3">
      <c r="A302" t="s">
        <v>693</v>
      </c>
      <c r="B302" s="8">
        <v>45709</v>
      </c>
      <c r="C302" t="s">
        <v>81</v>
      </c>
      <c r="D302" t="s">
        <v>21</v>
      </c>
      <c r="E302" t="s">
        <v>5</v>
      </c>
      <c r="F302" t="s">
        <v>25</v>
      </c>
      <c r="G302">
        <v>3</v>
      </c>
      <c r="H302" s="32">
        <v>892.31</v>
      </c>
      <c r="I302" s="33">
        <v>5</v>
      </c>
      <c r="J302" t="s">
        <v>30</v>
      </c>
      <c r="K302" t="s">
        <v>87</v>
      </c>
      <c r="L302" t="s">
        <v>37</v>
      </c>
      <c r="M302" t="s">
        <v>538</v>
      </c>
      <c r="N302" s="32">
        <v>2543.0835000000002</v>
      </c>
    </row>
    <row r="303" spans="1:14" x14ac:dyDescent="0.3">
      <c r="A303" t="s">
        <v>694</v>
      </c>
      <c r="B303" s="8">
        <v>45909</v>
      </c>
      <c r="C303" t="s">
        <v>107</v>
      </c>
      <c r="D303" t="s">
        <v>16</v>
      </c>
      <c r="E303" t="s">
        <v>9</v>
      </c>
      <c r="F303" t="s">
        <v>27</v>
      </c>
      <c r="G303">
        <v>1</v>
      </c>
      <c r="H303" s="32">
        <v>179.68</v>
      </c>
      <c r="I303" s="33">
        <v>0</v>
      </c>
      <c r="J303" t="s">
        <v>32</v>
      </c>
      <c r="K303" t="s">
        <v>92</v>
      </c>
      <c r="L303" t="s">
        <v>37</v>
      </c>
      <c r="M303" t="s">
        <v>122</v>
      </c>
      <c r="N303" s="32">
        <v>179.68</v>
      </c>
    </row>
    <row r="304" spans="1:14" x14ac:dyDescent="0.3">
      <c r="A304" t="s">
        <v>695</v>
      </c>
      <c r="B304" s="8">
        <v>45763</v>
      </c>
      <c r="C304" t="s">
        <v>91</v>
      </c>
      <c r="D304" t="s">
        <v>20</v>
      </c>
      <c r="E304" t="s">
        <v>5</v>
      </c>
      <c r="F304" t="s">
        <v>25</v>
      </c>
      <c r="G304">
        <v>2</v>
      </c>
      <c r="H304" s="32">
        <v>878.03</v>
      </c>
      <c r="I304" s="33">
        <v>5</v>
      </c>
      <c r="J304" t="s">
        <v>33</v>
      </c>
      <c r="K304" t="s">
        <v>87</v>
      </c>
      <c r="L304" t="s">
        <v>37</v>
      </c>
      <c r="M304" t="s">
        <v>522</v>
      </c>
      <c r="N304" s="32">
        <v>1668.2570000000001</v>
      </c>
    </row>
    <row r="305" spans="1:14" x14ac:dyDescent="0.3">
      <c r="A305" t="s">
        <v>696</v>
      </c>
      <c r="B305" s="8">
        <v>45704</v>
      </c>
      <c r="C305" t="s">
        <v>114</v>
      </c>
      <c r="D305" t="s">
        <v>21</v>
      </c>
      <c r="E305" t="s">
        <v>11</v>
      </c>
      <c r="F305" t="s">
        <v>26</v>
      </c>
      <c r="G305">
        <v>2</v>
      </c>
      <c r="H305" s="32">
        <v>159.79</v>
      </c>
      <c r="I305" s="33">
        <v>0</v>
      </c>
      <c r="J305" t="s">
        <v>32</v>
      </c>
      <c r="K305" t="s">
        <v>87</v>
      </c>
      <c r="L305" t="s">
        <v>38</v>
      </c>
      <c r="M305" t="s">
        <v>506</v>
      </c>
      <c r="N305" s="32">
        <v>319.58</v>
      </c>
    </row>
    <row r="306" spans="1:14" x14ac:dyDescent="0.3">
      <c r="A306" t="s">
        <v>698</v>
      </c>
      <c r="B306" s="8">
        <v>45792</v>
      </c>
      <c r="C306" t="s">
        <v>91</v>
      </c>
      <c r="D306" t="s">
        <v>19</v>
      </c>
      <c r="E306" t="s">
        <v>11</v>
      </c>
      <c r="F306" t="s">
        <v>26</v>
      </c>
      <c r="G306">
        <v>1</v>
      </c>
      <c r="H306" s="32">
        <v>151.49</v>
      </c>
      <c r="I306" s="33">
        <v>0</v>
      </c>
      <c r="J306" t="s">
        <v>31</v>
      </c>
      <c r="K306" t="s">
        <v>92</v>
      </c>
      <c r="L306" t="s">
        <v>37</v>
      </c>
      <c r="M306" t="s">
        <v>22</v>
      </c>
      <c r="N306" s="32">
        <v>151.49</v>
      </c>
    </row>
    <row r="307" spans="1:14" x14ac:dyDescent="0.3">
      <c r="A307" t="s">
        <v>699</v>
      </c>
      <c r="B307" s="8">
        <v>45774</v>
      </c>
      <c r="C307" t="s">
        <v>107</v>
      </c>
      <c r="D307" t="s">
        <v>18</v>
      </c>
      <c r="E307" t="s">
        <v>7</v>
      </c>
      <c r="F307" t="s">
        <v>27</v>
      </c>
      <c r="G307">
        <v>3</v>
      </c>
      <c r="H307" s="32">
        <v>421.47</v>
      </c>
      <c r="I307" s="33">
        <v>20</v>
      </c>
      <c r="J307" t="s">
        <v>32</v>
      </c>
      <c r="K307" t="s">
        <v>77</v>
      </c>
      <c r="L307" t="s">
        <v>38</v>
      </c>
      <c r="M307" t="s">
        <v>203</v>
      </c>
      <c r="N307" s="32">
        <v>1011.528</v>
      </c>
    </row>
    <row r="308" spans="1:14" x14ac:dyDescent="0.3">
      <c r="A308" t="s">
        <v>700</v>
      </c>
      <c r="B308" s="8">
        <v>45675</v>
      </c>
      <c r="C308" t="s">
        <v>127</v>
      </c>
      <c r="D308" t="s">
        <v>19</v>
      </c>
      <c r="E308" t="s">
        <v>11</v>
      </c>
      <c r="F308" t="s">
        <v>26</v>
      </c>
      <c r="G308">
        <v>1</v>
      </c>
      <c r="H308" s="32">
        <v>149.81</v>
      </c>
      <c r="I308" s="33">
        <v>20</v>
      </c>
      <c r="J308" t="s">
        <v>31</v>
      </c>
      <c r="K308" t="s">
        <v>92</v>
      </c>
      <c r="L308" t="s">
        <v>38</v>
      </c>
      <c r="M308" t="s">
        <v>83</v>
      </c>
      <c r="N308" s="32">
        <v>119.848</v>
      </c>
    </row>
    <row r="309" spans="1:14" x14ac:dyDescent="0.3">
      <c r="A309" t="s">
        <v>702</v>
      </c>
      <c r="B309" s="8">
        <v>45766</v>
      </c>
      <c r="C309" t="s">
        <v>103</v>
      </c>
      <c r="D309" t="s">
        <v>20</v>
      </c>
      <c r="E309" t="s">
        <v>8</v>
      </c>
      <c r="F309" t="s">
        <v>25</v>
      </c>
      <c r="G309">
        <v>4</v>
      </c>
      <c r="H309" s="32">
        <v>706.90499999999997</v>
      </c>
      <c r="I309" s="33">
        <v>5</v>
      </c>
      <c r="J309" t="s">
        <v>33</v>
      </c>
      <c r="K309" t="s">
        <v>77</v>
      </c>
      <c r="L309" t="s">
        <v>37</v>
      </c>
      <c r="M309" t="s">
        <v>498</v>
      </c>
      <c r="N309" s="32">
        <v>2686.239</v>
      </c>
    </row>
    <row r="310" spans="1:14" x14ac:dyDescent="0.3">
      <c r="A310" t="s">
        <v>703</v>
      </c>
      <c r="B310" s="8">
        <v>45692</v>
      </c>
      <c r="C310" t="s">
        <v>114</v>
      </c>
      <c r="D310" t="s">
        <v>19</v>
      </c>
      <c r="E310" t="s">
        <v>8</v>
      </c>
      <c r="F310" t="s">
        <v>25</v>
      </c>
      <c r="G310">
        <v>3</v>
      </c>
      <c r="H310" s="32">
        <v>626.91</v>
      </c>
      <c r="I310" s="33">
        <v>5</v>
      </c>
      <c r="J310" t="s">
        <v>30</v>
      </c>
      <c r="K310" t="s">
        <v>87</v>
      </c>
      <c r="L310" t="s">
        <v>37</v>
      </c>
      <c r="M310" t="s">
        <v>427</v>
      </c>
      <c r="N310" s="32">
        <v>1786.6935000000001</v>
      </c>
    </row>
    <row r="311" spans="1:14" x14ac:dyDescent="0.3">
      <c r="A311" t="s">
        <v>704</v>
      </c>
      <c r="B311" s="8">
        <v>45925</v>
      </c>
      <c r="C311" t="s">
        <v>76</v>
      </c>
      <c r="D311" t="s">
        <v>18</v>
      </c>
      <c r="E311" t="s">
        <v>10</v>
      </c>
      <c r="F311" t="s">
        <v>25</v>
      </c>
      <c r="G311">
        <v>3</v>
      </c>
      <c r="H311" s="32">
        <v>369.52</v>
      </c>
      <c r="I311" s="33">
        <v>0</v>
      </c>
      <c r="J311" t="s">
        <v>31</v>
      </c>
      <c r="K311" t="s">
        <v>92</v>
      </c>
      <c r="L311" t="s">
        <v>39</v>
      </c>
      <c r="M311" t="s">
        <v>189</v>
      </c>
      <c r="N311" s="32">
        <v>1108.56</v>
      </c>
    </row>
    <row r="312" spans="1:14" x14ac:dyDescent="0.3">
      <c r="A312" t="s">
        <v>706</v>
      </c>
      <c r="B312" s="8">
        <v>45834</v>
      </c>
      <c r="C312" t="s">
        <v>91</v>
      </c>
      <c r="D312" t="s">
        <v>18</v>
      </c>
      <c r="E312" t="s">
        <v>5</v>
      </c>
      <c r="F312" t="s">
        <v>25</v>
      </c>
      <c r="G312">
        <v>3</v>
      </c>
      <c r="H312" s="32">
        <v>1041.6099999999999</v>
      </c>
      <c r="I312" s="33">
        <v>15</v>
      </c>
      <c r="J312" t="s">
        <v>32</v>
      </c>
      <c r="K312" t="s">
        <v>77</v>
      </c>
      <c r="L312" t="s">
        <v>39</v>
      </c>
      <c r="M312" t="s">
        <v>474</v>
      </c>
      <c r="N312" s="32">
        <v>2656.1055000000001</v>
      </c>
    </row>
    <row r="313" spans="1:14" x14ac:dyDescent="0.3">
      <c r="A313" t="s">
        <v>707</v>
      </c>
      <c r="B313" s="8">
        <v>45863</v>
      </c>
      <c r="C313" t="s">
        <v>114</v>
      </c>
      <c r="D313" t="s">
        <v>16</v>
      </c>
      <c r="E313" t="s">
        <v>8</v>
      </c>
      <c r="F313" t="s">
        <v>25</v>
      </c>
      <c r="G313">
        <v>1</v>
      </c>
      <c r="H313" s="32">
        <v>608.38</v>
      </c>
      <c r="I313" s="33">
        <v>15</v>
      </c>
      <c r="J313" t="s">
        <v>31</v>
      </c>
      <c r="K313" t="s">
        <v>92</v>
      </c>
      <c r="L313" t="s">
        <v>37</v>
      </c>
      <c r="M313" t="s">
        <v>131</v>
      </c>
      <c r="N313" s="32">
        <v>517.12300000000005</v>
      </c>
    </row>
    <row r="314" spans="1:14" x14ac:dyDescent="0.3">
      <c r="A314" t="s">
        <v>708</v>
      </c>
      <c r="B314" s="8">
        <v>45813</v>
      </c>
      <c r="C314" t="s">
        <v>91</v>
      </c>
      <c r="D314" t="s">
        <v>18</v>
      </c>
      <c r="E314" t="s">
        <v>14</v>
      </c>
      <c r="F314" t="s">
        <v>28</v>
      </c>
      <c r="G314">
        <v>3</v>
      </c>
      <c r="H314" s="32">
        <v>49.78</v>
      </c>
      <c r="I314" s="33">
        <v>20</v>
      </c>
      <c r="J314" t="s">
        <v>33</v>
      </c>
      <c r="K314" t="s">
        <v>82</v>
      </c>
      <c r="L314" t="s">
        <v>37</v>
      </c>
      <c r="M314" t="s">
        <v>22</v>
      </c>
      <c r="N314" s="32">
        <v>119.47199999999999</v>
      </c>
    </row>
    <row r="315" spans="1:14" x14ac:dyDescent="0.3">
      <c r="A315" t="s">
        <v>709</v>
      </c>
      <c r="B315" s="8">
        <v>45822</v>
      </c>
      <c r="C315" t="s">
        <v>114</v>
      </c>
      <c r="D315" t="s">
        <v>19</v>
      </c>
      <c r="E315" t="s">
        <v>14</v>
      </c>
      <c r="F315" t="s">
        <v>28</v>
      </c>
      <c r="G315">
        <v>5</v>
      </c>
      <c r="H315" s="32">
        <v>55.59</v>
      </c>
      <c r="I315" s="33">
        <v>15</v>
      </c>
      <c r="J315" t="s">
        <v>33</v>
      </c>
      <c r="K315" t="s">
        <v>82</v>
      </c>
      <c r="L315" t="s">
        <v>37</v>
      </c>
      <c r="M315" t="s">
        <v>200</v>
      </c>
      <c r="N315" s="32">
        <v>236.25749999999999</v>
      </c>
    </row>
    <row r="316" spans="1:14" x14ac:dyDescent="0.3">
      <c r="A316" t="s">
        <v>711</v>
      </c>
      <c r="B316" s="8">
        <v>45906</v>
      </c>
      <c r="C316" t="s">
        <v>86</v>
      </c>
      <c r="D316" t="s">
        <v>20</v>
      </c>
      <c r="E316" t="s">
        <v>9</v>
      </c>
      <c r="F316" t="s">
        <v>27</v>
      </c>
      <c r="G316">
        <v>4</v>
      </c>
      <c r="H316" s="32">
        <v>180.32</v>
      </c>
      <c r="I316" s="33">
        <v>10</v>
      </c>
      <c r="J316" t="s">
        <v>31</v>
      </c>
      <c r="K316" t="s">
        <v>92</v>
      </c>
      <c r="L316" t="s">
        <v>38</v>
      </c>
      <c r="M316" t="s">
        <v>235</v>
      </c>
      <c r="N316" s="32">
        <v>649.15200000000004</v>
      </c>
    </row>
    <row r="317" spans="1:14" x14ac:dyDescent="0.3">
      <c r="A317" t="s">
        <v>713</v>
      </c>
      <c r="B317" s="8">
        <v>45926</v>
      </c>
      <c r="C317" t="s">
        <v>107</v>
      </c>
      <c r="D317" t="s">
        <v>21</v>
      </c>
      <c r="E317" t="s">
        <v>13</v>
      </c>
      <c r="F317" t="s">
        <v>28</v>
      </c>
      <c r="G317">
        <v>1</v>
      </c>
      <c r="H317" s="32">
        <v>98.56</v>
      </c>
      <c r="I317" s="33">
        <v>0</v>
      </c>
      <c r="J317" t="s">
        <v>31</v>
      </c>
      <c r="K317" t="s">
        <v>92</v>
      </c>
      <c r="L317" t="s">
        <v>38</v>
      </c>
      <c r="M317" t="s">
        <v>266</v>
      </c>
      <c r="N317" s="32">
        <v>98.56</v>
      </c>
    </row>
    <row r="318" spans="1:14" x14ac:dyDescent="0.3">
      <c r="A318" t="s">
        <v>714</v>
      </c>
      <c r="B318" s="8" t="s">
        <v>715</v>
      </c>
      <c r="C318" t="s">
        <v>86</v>
      </c>
      <c r="D318" t="s">
        <v>18</v>
      </c>
      <c r="E318" t="s">
        <v>10</v>
      </c>
      <c r="F318" t="s">
        <v>25</v>
      </c>
      <c r="G318">
        <v>1</v>
      </c>
      <c r="H318" s="32">
        <v>395.33</v>
      </c>
      <c r="I318" s="33">
        <v>10</v>
      </c>
      <c r="J318" t="s">
        <v>32</v>
      </c>
      <c r="K318" t="s">
        <v>92</v>
      </c>
      <c r="L318" t="s">
        <v>37</v>
      </c>
      <c r="M318" t="s">
        <v>458</v>
      </c>
      <c r="N318" s="32">
        <v>355.79700000000003</v>
      </c>
    </row>
    <row r="319" spans="1:14" x14ac:dyDescent="0.3">
      <c r="A319" t="s">
        <v>716</v>
      </c>
      <c r="B319" s="8">
        <v>45748</v>
      </c>
      <c r="C319" t="s">
        <v>127</v>
      </c>
      <c r="D319" t="s">
        <v>19</v>
      </c>
      <c r="E319" t="s">
        <v>9</v>
      </c>
      <c r="F319" t="s">
        <v>27</v>
      </c>
      <c r="G319">
        <v>1</v>
      </c>
      <c r="H319" s="32">
        <v>188.73</v>
      </c>
      <c r="I319" s="33">
        <v>0</v>
      </c>
      <c r="J319" t="s">
        <v>30</v>
      </c>
      <c r="K319" t="s">
        <v>82</v>
      </c>
      <c r="L319" t="s">
        <v>39</v>
      </c>
      <c r="M319" t="s">
        <v>718</v>
      </c>
      <c r="N319" s="32">
        <v>188.73</v>
      </c>
    </row>
    <row r="320" spans="1:14" x14ac:dyDescent="0.3">
      <c r="A320" t="s">
        <v>719</v>
      </c>
      <c r="B320" s="8">
        <v>45741</v>
      </c>
      <c r="C320" t="s">
        <v>81</v>
      </c>
      <c r="D320" t="s">
        <v>21</v>
      </c>
      <c r="E320" t="s">
        <v>12</v>
      </c>
      <c r="F320" t="s">
        <v>25</v>
      </c>
      <c r="G320">
        <v>1</v>
      </c>
      <c r="H320" s="32">
        <v>119.6</v>
      </c>
      <c r="I320" s="33">
        <v>15</v>
      </c>
      <c r="J320" t="s">
        <v>31</v>
      </c>
      <c r="K320" t="s">
        <v>82</v>
      </c>
      <c r="L320" t="s">
        <v>38</v>
      </c>
      <c r="M320" t="s">
        <v>22</v>
      </c>
      <c r="N320" s="32">
        <v>101.66</v>
      </c>
    </row>
    <row r="321" spans="1:14" x14ac:dyDescent="0.3">
      <c r="A321" t="s">
        <v>721</v>
      </c>
      <c r="B321" s="8">
        <v>45662</v>
      </c>
      <c r="C321" t="s">
        <v>103</v>
      </c>
      <c r="D321" t="s">
        <v>22</v>
      </c>
      <c r="E321" t="s">
        <v>6</v>
      </c>
      <c r="F321" t="s">
        <v>26</v>
      </c>
      <c r="G321">
        <v>2</v>
      </c>
      <c r="H321" s="32">
        <v>870.6</v>
      </c>
      <c r="I321" s="33">
        <v>0</v>
      </c>
      <c r="J321" t="s">
        <v>33</v>
      </c>
      <c r="K321" t="s">
        <v>82</v>
      </c>
      <c r="L321" t="s">
        <v>39</v>
      </c>
      <c r="M321" t="s">
        <v>430</v>
      </c>
      <c r="N321" s="32">
        <v>1741.2</v>
      </c>
    </row>
    <row r="322" spans="1:14" x14ac:dyDescent="0.3">
      <c r="A322" t="s">
        <v>722</v>
      </c>
      <c r="B322" s="8">
        <v>45798</v>
      </c>
      <c r="C322" t="s">
        <v>114</v>
      </c>
      <c r="D322" t="s">
        <v>16</v>
      </c>
      <c r="E322" t="s">
        <v>5</v>
      </c>
      <c r="F322" t="s">
        <v>25</v>
      </c>
      <c r="G322">
        <v>3</v>
      </c>
      <c r="H322" s="32">
        <v>927.55</v>
      </c>
      <c r="I322" s="33">
        <v>5</v>
      </c>
      <c r="J322" t="s">
        <v>30</v>
      </c>
      <c r="K322" t="s">
        <v>82</v>
      </c>
      <c r="L322" t="s">
        <v>39</v>
      </c>
      <c r="M322" t="s">
        <v>549</v>
      </c>
      <c r="N322" s="32">
        <v>2643.5174999999999</v>
      </c>
    </row>
    <row r="323" spans="1:14" x14ac:dyDescent="0.3">
      <c r="A323" t="s">
        <v>723</v>
      </c>
      <c r="B323" s="8">
        <v>45861</v>
      </c>
      <c r="C323" t="s">
        <v>76</v>
      </c>
      <c r="D323" t="s">
        <v>20</v>
      </c>
      <c r="E323" t="s">
        <v>14</v>
      </c>
      <c r="F323" t="s">
        <v>28</v>
      </c>
      <c r="G323">
        <v>2</v>
      </c>
      <c r="H323" s="32">
        <v>60.83</v>
      </c>
      <c r="I323" s="33">
        <v>10</v>
      </c>
      <c r="J323" t="s">
        <v>30</v>
      </c>
      <c r="K323" t="s">
        <v>87</v>
      </c>
      <c r="L323" t="s">
        <v>38</v>
      </c>
      <c r="M323" t="s">
        <v>538</v>
      </c>
      <c r="N323" s="32">
        <v>109.494</v>
      </c>
    </row>
    <row r="324" spans="1:14" x14ac:dyDescent="0.3">
      <c r="A324" t="s">
        <v>725</v>
      </c>
      <c r="B324" s="8">
        <v>45799</v>
      </c>
      <c r="C324" t="s">
        <v>91</v>
      </c>
      <c r="D324" t="s">
        <v>16</v>
      </c>
      <c r="E324" t="s">
        <v>12</v>
      </c>
      <c r="F324" t="s">
        <v>25</v>
      </c>
      <c r="G324">
        <v>2</v>
      </c>
      <c r="H324" s="32">
        <v>118.09</v>
      </c>
      <c r="I324" s="33">
        <v>15</v>
      </c>
      <c r="J324" t="s">
        <v>30</v>
      </c>
      <c r="K324" t="s">
        <v>82</v>
      </c>
      <c r="L324" t="s">
        <v>37</v>
      </c>
      <c r="M324" t="s">
        <v>726</v>
      </c>
      <c r="N324" s="32">
        <v>200.75299999999999</v>
      </c>
    </row>
    <row r="325" spans="1:14" x14ac:dyDescent="0.3">
      <c r="A325" t="s">
        <v>727</v>
      </c>
      <c r="B325" s="8">
        <v>45864</v>
      </c>
      <c r="C325" t="s">
        <v>103</v>
      </c>
      <c r="D325" t="s">
        <v>22</v>
      </c>
      <c r="E325" t="s">
        <v>13</v>
      </c>
      <c r="F325" t="s">
        <v>28</v>
      </c>
      <c r="G325">
        <v>3</v>
      </c>
      <c r="H325" s="32">
        <v>87.94</v>
      </c>
      <c r="I325" s="33">
        <v>0</v>
      </c>
      <c r="J325" t="s">
        <v>32</v>
      </c>
      <c r="K325" t="s">
        <v>87</v>
      </c>
      <c r="L325" t="s">
        <v>37</v>
      </c>
      <c r="M325" t="s">
        <v>718</v>
      </c>
      <c r="N325" s="32">
        <v>263.82</v>
      </c>
    </row>
    <row r="326" spans="1:14" x14ac:dyDescent="0.3">
      <c r="A326" t="s">
        <v>728</v>
      </c>
      <c r="B326" s="8" t="s">
        <v>715</v>
      </c>
      <c r="C326" t="s">
        <v>81</v>
      </c>
      <c r="D326" t="s">
        <v>17</v>
      </c>
      <c r="E326" t="s">
        <v>6</v>
      </c>
      <c r="F326" t="s">
        <v>26</v>
      </c>
      <c r="G326">
        <v>1</v>
      </c>
      <c r="H326" s="32">
        <v>845.66</v>
      </c>
      <c r="I326" s="33">
        <v>10</v>
      </c>
      <c r="J326" t="s">
        <v>32</v>
      </c>
      <c r="K326" t="s">
        <v>87</v>
      </c>
      <c r="L326" t="s">
        <v>37</v>
      </c>
      <c r="M326" t="s">
        <v>241</v>
      </c>
      <c r="N326" s="32">
        <v>761.09400000000005</v>
      </c>
    </row>
    <row r="327" spans="1:14" x14ac:dyDescent="0.3">
      <c r="A327" t="s">
        <v>729</v>
      </c>
      <c r="B327" s="8">
        <v>45750</v>
      </c>
      <c r="C327" t="s">
        <v>76</v>
      </c>
      <c r="D327" t="s">
        <v>18</v>
      </c>
      <c r="E327" t="s">
        <v>14</v>
      </c>
      <c r="F327" t="s">
        <v>28</v>
      </c>
      <c r="G327">
        <v>3</v>
      </c>
      <c r="H327" s="32">
        <v>61.06</v>
      </c>
      <c r="I327" s="33">
        <v>0</v>
      </c>
      <c r="J327" t="s">
        <v>30</v>
      </c>
      <c r="K327" t="s">
        <v>82</v>
      </c>
      <c r="L327" t="s">
        <v>37</v>
      </c>
      <c r="M327" t="s">
        <v>344</v>
      </c>
      <c r="N327" s="32">
        <v>183.18</v>
      </c>
    </row>
    <row r="328" spans="1:14" x14ac:dyDescent="0.3">
      <c r="A328" t="s">
        <v>730</v>
      </c>
      <c r="B328" s="8">
        <v>45815</v>
      </c>
      <c r="C328" t="s">
        <v>86</v>
      </c>
      <c r="D328" t="s">
        <v>16</v>
      </c>
      <c r="E328" t="s">
        <v>12</v>
      </c>
      <c r="F328" t="s">
        <v>25</v>
      </c>
      <c r="G328">
        <v>1</v>
      </c>
      <c r="H328" s="32">
        <v>114.7</v>
      </c>
      <c r="I328" s="33">
        <v>0</v>
      </c>
      <c r="J328" t="s">
        <v>30</v>
      </c>
      <c r="K328" t="s">
        <v>77</v>
      </c>
      <c r="L328" t="s">
        <v>39</v>
      </c>
      <c r="M328" t="s">
        <v>546</v>
      </c>
      <c r="N328" s="32">
        <v>114.7</v>
      </c>
    </row>
    <row r="329" spans="1:14" x14ac:dyDescent="0.3">
      <c r="A329" t="s">
        <v>731</v>
      </c>
      <c r="B329" s="8">
        <v>45694</v>
      </c>
      <c r="C329" t="s">
        <v>81</v>
      </c>
      <c r="D329" t="s">
        <v>19</v>
      </c>
      <c r="E329" t="s">
        <v>11</v>
      </c>
      <c r="F329" t="s">
        <v>26</v>
      </c>
      <c r="G329">
        <v>1</v>
      </c>
      <c r="H329" s="32">
        <v>158.79</v>
      </c>
      <c r="I329" s="33">
        <v>0</v>
      </c>
      <c r="J329" t="s">
        <v>32</v>
      </c>
      <c r="K329" t="s">
        <v>87</v>
      </c>
      <c r="L329" t="s">
        <v>38</v>
      </c>
      <c r="M329" t="s">
        <v>181</v>
      </c>
      <c r="N329" s="32">
        <v>158.79</v>
      </c>
    </row>
    <row r="330" spans="1:14" x14ac:dyDescent="0.3">
      <c r="A330" t="s">
        <v>732</v>
      </c>
      <c r="B330" s="8">
        <v>45760</v>
      </c>
      <c r="C330" t="s">
        <v>114</v>
      </c>
      <c r="D330" t="s">
        <v>19</v>
      </c>
      <c r="E330" t="s">
        <v>10</v>
      </c>
      <c r="F330" t="s">
        <v>25</v>
      </c>
      <c r="G330">
        <v>3</v>
      </c>
      <c r="H330" s="32">
        <v>328.19</v>
      </c>
      <c r="I330" s="33">
        <v>5</v>
      </c>
      <c r="J330" t="s">
        <v>31</v>
      </c>
      <c r="K330" t="s">
        <v>87</v>
      </c>
      <c r="L330" t="s">
        <v>37</v>
      </c>
      <c r="M330" t="s">
        <v>453</v>
      </c>
      <c r="N330" s="32">
        <v>935.3415</v>
      </c>
    </row>
    <row r="331" spans="1:14" x14ac:dyDescent="0.3">
      <c r="A331" t="s">
        <v>733</v>
      </c>
      <c r="B331" s="8">
        <v>45748</v>
      </c>
      <c r="C331" t="s">
        <v>107</v>
      </c>
      <c r="D331" t="s">
        <v>20</v>
      </c>
      <c r="E331" t="s">
        <v>12</v>
      </c>
      <c r="F331" t="s">
        <v>25</v>
      </c>
      <c r="G331">
        <v>2</v>
      </c>
      <c r="H331" s="32">
        <v>126.93</v>
      </c>
      <c r="I331" s="33">
        <v>5</v>
      </c>
      <c r="J331" t="s">
        <v>30</v>
      </c>
      <c r="K331" t="s">
        <v>82</v>
      </c>
      <c r="L331" t="s">
        <v>37</v>
      </c>
      <c r="M331" t="s">
        <v>734</v>
      </c>
      <c r="N331" s="32">
        <v>241.167</v>
      </c>
    </row>
    <row r="332" spans="1:14" x14ac:dyDescent="0.3">
      <c r="A332" t="s">
        <v>735</v>
      </c>
      <c r="B332" s="8">
        <v>45703</v>
      </c>
      <c r="C332" t="s">
        <v>127</v>
      </c>
      <c r="D332" t="s">
        <v>18</v>
      </c>
      <c r="E332" t="s">
        <v>5</v>
      </c>
      <c r="F332" t="s">
        <v>25</v>
      </c>
      <c r="G332">
        <v>3</v>
      </c>
      <c r="H332" s="32">
        <v>971.27</v>
      </c>
      <c r="I332" s="33">
        <v>15</v>
      </c>
      <c r="J332" t="s">
        <v>32</v>
      </c>
      <c r="K332" t="s">
        <v>77</v>
      </c>
      <c r="L332" t="s">
        <v>37</v>
      </c>
      <c r="M332" t="s">
        <v>366</v>
      </c>
      <c r="N332" s="32">
        <v>2476.7384999999999</v>
      </c>
    </row>
    <row r="333" spans="1:14" x14ac:dyDescent="0.3">
      <c r="A333" t="s">
        <v>736</v>
      </c>
      <c r="B333" s="8">
        <v>45760</v>
      </c>
      <c r="C333" t="s">
        <v>107</v>
      </c>
      <c r="D333" t="s">
        <v>16</v>
      </c>
      <c r="E333" t="s">
        <v>11</v>
      </c>
      <c r="F333" t="s">
        <v>26</v>
      </c>
      <c r="G333">
        <v>1</v>
      </c>
      <c r="H333" s="32">
        <v>136.41</v>
      </c>
      <c r="I333" s="33">
        <v>20</v>
      </c>
      <c r="J333" t="s">
        <v>31</v>
      </c>
      <c r="K333" t="s">
        <v>92</v>
      </c>
      <c r="L333" t="s">
        <v>37</v>
      </c>
      <c r="M333" t="s">
        <v>559</v>
      </c>
      <c r="N333" s="32">
        <v>109.128</v>
      </c>
    </row>
    <row r="334" spans="1:14" x14ac:dyDescent="0.3">
      <c r="A334" t="s">
        <v>737</v>
      </c>
      <c r="B334" s="8">
        <v>45817</v>
      </c>
      <c r="C334" t="s">
        <v>76</v>
      </c>
      <c r="D334" t="s">
        <v>18</v>
      </c>
      <c r="E334" t="s">
        <v>9</v>
      </c>
      <c r="F334" t="s">
        <v>27</v>
      </c>
      <c r="G334">
        <v>1</v>
      </c>
      <c r="H334" s="32">
        <v>201.46</v>
      </c>
      <c r="I334" s="33">
        <v>10</v>
      </c>
      <c r="J334" t="s">
        <v>30</v>
      </c>
      <c r="K334" t="s">
        <v>82</v>
      </c>
      <c r="L334" t="s">
        <v>37</v>
      </c>
      <c r="M334" t="s">
        <v>220</v>
      </c>
      <c r="N334" s="32">
        <v>181.31399999999999</v>
      </c>
    </row>
    <row r="335" spans="1:14" x14ac:dyDescent="0.3">
      <c r="A335" t="s">
        <v>738</v>
      </c>
      <c r="B335" s="8">
        <v>45924</v>
      </c>
      <c r="C335" t="s">
        <v>121</v>
      </c>
      <c r="D335" t="s">
        <v>16</v>
      </c>
      <c r="E335" t="s">
        <v>10</v>
      </c>
      <c r="F335" t="s">
        <v>25</v>
      </c>
      <c r="G335">
        <v>1</v>
      </c>
      <c r="H335" s="32">
        <v>340.45</v>
      </c>
      <c r="I335" s="33">
        <v>5</v>
      </c>
      <c r="J335" t="s">
        <v>31</v>
      </c>
      <c r="K335" t="s">
        <v>87</v>
      </c>
      <c r="L335" t="s">
        <v>38</v>
      </c>
      <c r="M335" t="s">
        <v>261</v>
      </c>
      <c r="N335" s="32">
        <v>323.42750000000001</v>
      </c>
    </row>
    <row r="336" spans="1:14" x14ac:dyDescent="0.3">
      <c r="A336" t="s">
        <v>739</v>
      </c>
      <c r="B336" s="8">
        <v>45864</v>
      </c>
      <c r="C336" t="s">
        <v>81</v>
      </c>
      <c r="D336" t="s">
        <v>21</v>
      </c>
      <c r="E336" t="s">
        <v>7</v>
      </c>
      <c r="F336" t="s">
        <v>27</v>
      </c>
      <c r="G336">
        <v>2</v>
      </c>
      <c r="H336" s="32">
        <v>395.31</v>
      </c>
      <c r="I336" s="33">
        <v>15</v>
      </c>
      <c r="J336" t="s">
        <v>31</v>
      </c>
      <c r="K336" t="s">
        <v>82</v>
      </c>
      <c r="L336" t="s">
        <v>37</v>
      </c>
      <c r="M336" t="s">
        <v>740</v>
      </c>
      <c r="N336" s="32">
        <v>672.02700000000004</v>
      </c>
    </row>
  </sheetData>
  <autoFilter ref="A1:N336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8" customWidth="1"/>
    <col min="2" max="2" width="115" customWidth="1"/>
  </cols>
  <sheetData>
    <row r="1" spans="1:2" x14ac:dyDescent="0.3">
      <c r="A1" s="31" t="s">
        <v>741</v>
      </c>
      <c r="B1" s="31" t="s">
        <v>761</v>
      </c>
    </row>
    <row r="2" spans="1:2" ht="33.75" customHeight="1" x14ac:dyDescent="0.3">
      <c r="A2" t="s">
        <v>762</v>
      </c>
      <c r="B2" s="34" t="s">
        <v>763</v>
      </c>
    </row>
    <row r="3" spans="1:2" ht="33.75" customHeight="1" x14ac:dyDescent="0.3">
      <c r="A3" t="s">
        <v>764</v>
      </c>
      <c r="B3" s="34" t="s">
        <v>765</v>
      </c>
    </row>
    <row r="4" spans="1:2" ht="33.75" customHeight="1" x14ac:dyDescent="0.3">
      <c r="A4" t="s">
        <v>766</v>
      </c>
      <c r="B4" s="34" t="s">
        <v>767</v>
      </c>
    </row>
    <row r="5" spans="1:2" ht="33.75" customHeight="1" x14ac:dyDescent="0.3">
      <c r="A5" t="s">
        <v>768</v>
      </c>
      <c r="B5" s="34" t="s">
        <v>769</v>
      </c>
    </row>
    <row r="6" spans="1:2" ht="33.75" customHeight="1" x14ac:dyDescent="0.3">
      <c r="A6" t="s">
        <v>770</v>
      </c>
      <c r="B6" s="34" t="s">
        <v>771</v>
      </c>
    </row>
    <row r="7" spans="1:2" ht="33.75" customHeight="1" x14ac:dyDescent="0.3">
      <c r="A7" t="s">
        <v>772</v>
      </c>
      <c r="B7" s="34" t="s">
        <v>773</v>
      </c>
    </row>
    <row r="8" spans="1:2" ht="33.75" customHeight="1" x14ac:dyDescent="0.3">
      <c r="A8" t="s">
        <v>774</v>
      </c>
      <c r="B8" s="34" t="s">
        <v>775</v>
      </c>
    </row>
    <row r="9" spans="1:2" ht="33.75" customHeight="1" x14ac:dyDescent="0.3">
      <c r="A9" t="s">
        <v>776</v>
      </c>
      <c r="B9" s="34" t="s">
        <v>777</v>
      </c>
    </row>
    <row r="10" spans="1:2" ht="33.75" customHeight="1" x14ac:dyDescent="0.3">
      <c r="A10" t="s">
        <v>778</v>
      </c>
      <c r="B10" s="34" t="s">
        <v>779</v>
      </c>
    </row>
    <row r="11" spans="1:2" ht="33.75" customHeight="1" x14ac:dyDescent="0.3">
      <c r="A11" t="s">
        <v>780</v>
      </c>
      <c r="B11" s="34" t="s">
        <v>781</v>
      </c>
    </row>
    <row r="12" spans="1:2" ht="33.75" customHeight="1" x14ac:dyDescent="0.3">
      <c r="A12" t="s">
        <v>782</v>
      </c>
      <c r="B12" s="34" t="s">
        <v>783</v>
      </c>
    </row>
    <row r="13" spans="1:2" ht="33.75" customHeight="1" x14ac:dyDescent="0.3">
      <c r="A13" t="s">
        <v>784</v>
      </c>
      <c r="B13" s="34" t="s">
        <v>785</v>
      </c>
    </row>
    <row r="14" spans="1:2" ht="33.75" customHeight="1" x14ac:dyDescent="0.3">
      <c r="A14" t="s">
        <v>786</v>
      </c>
      <c r="B14" s="34" t="s">
        <v>787</v>
      </c>
    </row>
  </sheetData>
  <autoFilter ref="A1:B14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Calc</vt:lpstr>
      <vt:lpstr>DASHBOARD</vt:lpstr>
      <vt:lpstr>Orders_Raw</vt:lpstr>
      <vt:lpstr>Project_Guide</vt:lpstr>
      <vt:lpstr>PT_Product_Sales</vt:lpstr>
      <vt:lpstr>PT_City_Sales</vt:lpstr>
      <vt:lpstr>PT_Category_Sales</vt:lpstr>
      <vt:lpstr>PT_Channel_Sales</vt:lpstr>
      <vt:lpstr>PT_Order_Status</vt:lpstr>
      <vt:lpstr>Cleaned_Data</vt:lpstr>
      <vt:lpstr>Cleaning_Notes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original</cp:lastModifiedBy>
  <cp:revision>1</cp:revision>
  <dcterms:created xsi:type="dcterms:W3CDTF">2026-10-11T15:18:19Z</dcterms:created>
  <dcterms:modified xsi:type="dcterms:W3CDTF">2026-10-13T17:33:13Z</dcterms:modified>
  <dc:language>en-US</dc:language>
</cp:coreProperties>
</file>